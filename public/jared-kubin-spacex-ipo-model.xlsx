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ables/table2.xml" ContentType="application/vnd.openxmlformats-officedocument.spreadsheetml.table+xml"/>
  <Override PartName="/xl/comments5.xml" ContentType="application/vnd.openxmlformats-officedocument.spreadsheetml.comments+xml"/>
  <Override PartName="/xl/tables/table3.xml" ContentType="application/vnd.openxmlformats-officedocument.spreadsheetml.table+xml"/>
  <Override PartName="/xl/comments6.xml" ContentType="application/vnd.openxmlformats-officedocument.spreadsheetml.comments+xml"/>
  <Override PartName="/xl/tables/table4.xml" ContentType="application/vnd.openxmlformats-officedocument.spreadsheetml.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aredKubin/Library/CloudStorage/GoogleDrive-jlk@liqn.ai/My Drive/Public Shares/SpaceX/"/>
    </mc:Choice>
  </mc:AlternateContent>
  <xr:revisionPtr revIDLastSave="0" documentId="13_ncr:1_{5975201E-1DE3-514C-9365-9983049CB49D}" xr6:coauthVersionLast="47" xr6:coauthVersionMax="47" xr10:uidLastSave="{00000000-0000-0000-0000-000000000000}"/>
  <bookViews>
    <workbookView xWindow="0" yWindow="600" windowWidth="76800" windowHeight="18780" firstSheet="1" activeTab="3" xr2:uid="{00000000-000D-0000-FFFF-FFFF00000000}"/>
  </bookViews>
  <sheets>
    <sheet name="COMPANY_INFO" sheetId="8" r:id="rId1"/>
    <sheet name="TERMS" sheetId="1" r:id="rId2"/>
    <sheet name="TAM" sheetId="10" r:id="rId3"/>
    <sheet name="IPO_Analysis" sheetId="2" r:id="rId4"/>
    <sheet name="Share_Count" sheetId="3" r:id="rId5"/>
    <sheet name="Annual_Financials" sheetId="4" r:id="rId6"/>
    <sheet name="KPIs" sheetId="5" r:id="rId7"/>
    <sheet name="Checks" sheetId="7" r:id="rId8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zJjUSshdY3IuUUznnrlSenOGpSYjhKn1GuyfuvCEAhM="/>
    </ext>
  </extLst>
</workbook>
</file>

<file path=xl/calcChain.xml><?xml version="1.0" encoding="utf-8"?>
<calcChain xmlns="http://schemas.openxmlformats.org/spreadsheetml/2006/main">
  <c r="D97" i="2" l="1"/>
  <c r="C97" i="2"/>
  <c r="E263" i="2"/>
  <c r="D279" i="2"/>
  <c r="D276" i="2"/>
  <c r="C269" i="2"/>
  <c r="C268" i="2"/>
  <c r="C267" i="2"/>
  <c r="A260" i="2"/>
  <c r="C157" i="2"/>
  <c r="C156" i="2"/>
  <c r="D157" i="2"/>
  <c r="D156" i="2"/>
  <c r="H76" i="2"/>
  <c r="D88" i="2"/>
  <c r="C88" i="2"/>
  <c r="C103" i="2"/>
  <c r="C90" i="2"/>
  <c r="C76" i="2"/>
  <c r="C75" i="2"/>
  <c r="E52" i="2"/>
  <c r="E43" i="2"/>
  <c r="E42" i="2"/>
  <c r="E41" i="2"/>
  <c r="E39" i="2"/>
  <c r="E38" i="2"/>
  <c r="E37" i="2"/>
  <c r="C49" i="2"/>
  <c r="C48" i="2"/>
  <c r="C47" i="2"/>
  <c r="C32" i="2"/>
  <c r="A206" i="2"/>
  <c r="A205" i="2"/>
  <c r="F52" i="2"/>
  <c r="H100" i="2"/>
  <c r="G100" i="2"/>
  <c r="F100" i="2"/>
  <c r="E100" i="2"/>
  <c r="F97" i="2"/>
  <c r="F103" i="2" s="1"/>
  <c r="H94" i="2"/>
  <c r="H97" i="2" s="1"/>
  <c r="H103" i="2" s="1"/>
  <c r="G94" i="2"/>
  <c r="G97" i="2" s="1"/>
  <c r="G103" i="2" s="1"/>
  <c r="F94" i="2"/>
  <c r="E94" i="2"/>
  <c r="E97" i="2" s="1"/>
  <c r="E103" i="2" s="1"/>
  <c r="H146" i="2"/>
  <c r="H145" i="2"/>
  <c r="H144" i="2"/>
  <c r="H143" i="2"/>
  <c r="G146" i="2"/>
  <c r="G145" i="2"/>
  <c r="G144" i="2"/>
  <c r="G143" i="2"/>
  <c r="F146" i="2"/>
  <c r="F145" i="2"/>
  <c r="F144" i="2"/>
  <c r="F143" i="2"/>
  <c r="E146" i="2"/>
  <c r="E145" i="2"/>
  <c r="E144" i="2"/>
  <c r="E143" i="2"/>
  <c r="D146" i="2"/>
  <c r="D145" i="2"/>
  <c r="D144" i="2"/>
  <c r="D143" i="2"/>
  <c r="C146" i="2"/>
  <c r="C145" i="2"/>
  <c r="C144" i="2"/>
  <c r="C143" i="2"/>
  <c r="E32" i="7"/>
  <c r="C32" i="7"/>
  <c r="E31" i="7"/>
  <c r="C31" i="7"/>
  <c r="H157" i="2"/>
  <c r="H156" i="2"/>
  <c r="H155" i="2"/>
  <c r="G157" i="2"/>
  <c r="G156" i="2"/>
  <c r="G155" i="2"/>
  <c r="F157" i="2"/>
  <c r="F156" i="2"/>
  <c r="F155" i="2"/>
  <c r="E157" i="2"/>
  <c r="E156" i="2"/>
  <c r="E155" i="2"/>
  <c r="D162" i="2"/>
  <c r="D161" i="2"/>
  <c r="D160" i="2"/>
  <c r="D155" i="2"/>
  <c r="D150" i="2"/>
  <c r="D149" i="2"/>
  <c r="C162" i="2"/>
  <c r="C161" i="2"/>
  <c r="C160" i="2"/>
  <c r="C155" i="2"/>
  <c r="C150" i="2"/>
  <c r="C149" i="2"/>
  <c r="C98" i="2"/>
  <c r="D101" i="2"/>
  <c r="E85" i="2"/>
  <c r="E82" i="2"/>
  <c r="E79" i="2"/>
  <c r="D89" i="2"/>
  <c r="D223" i="2"/>
  <c r="D86" i="2"/>
  <c r="D83" i="2"/>
  <c r="D80" i="2"/>
  <c r="C86" i="2"/>
  <c r="C83" i="2"/>
  <c r="C80" i="2"/>
  <c r="E72" i="2"/>
  <c r="F72" i="2" s="1"/>
  <c r="G72" i="2" s="1"/>
  <c r="H72" i="2" s="1"/>
  <c r="H85" i="2" s="1"/>
  <c r="E68" i="2"/>
  <c r="E64" i="2"/>
  <c r="D75" i="2"/>
  <c r="D95" i="2" s="1"/>
  <c r="D74" i="2"/>
  <c r="D70" i="2"/>
  <c r="D66" i="2"/>
  <c r="C69" i="2"/>
  <c r="C73" i="2"/>
  <c r="C110" i="10"/>
  <c r="C67" i="10"/>
  <c r="C61" i="10"/>
  <c r="C56" i="10"/>
  <c r="C54" i="10"/>
  <c r="C52" i="10"/>
  <c r="C46" i="10"/>
  <c r="C37" i="10"/>
  <c r="B27" i="10"/>
  <c r="B13" i="10"/>
  <c r="C11" i="10"/>
  <c r="B11" i="10"/>
  <c r="C10" i="10"/>
  <c r="C9" i="10"/>
  <c r="C8" i="10"/>
  <c r="F275" i="2"/>
  <c r="D275" i="2"/>
  <c r="B192" i="2"/>
  <c r="B190" i="2"/>
  <c r="B189" i="2"/>
  <c r="E30" i="7"/>
  <c r="C30" i="7"/>
  <c r="E29" i="7"/>
  <c r="C29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C15" i="7"/>
  <c r="C14" i="7"/>
  <c r="C13" i="7"/>
  <c r="C12" i="7"/>
  <c r="C11" i="7"/>
  <c r="C10" i="7"/>
  <c r="C7" i="7"/>
  <c r="C6" i="7"/>
  <c r="H135" i="2"/>
  <c r="G135" i="2"/>
  <c r="F135" i="2"/>
  <c r="E135" i="2"/>
  <c r="H114" i="2"/>
  <c r="G114" i="2"/>
  <c r="F114" i="2"/>
  <c r="E114" i="2"/>
  <c r="H217" i="2"/>
  <c r="G217" i="2"/>
  <c r="H61" i="2"/>
  <c r="G61" i="2"/>
  <c r="D217" i="2"/>
  <c r="F217" i="2"/>
  <c r="E217" i="2"/>
  <c r="F179" i="2"/>
  <c r="C179" i="2"/>
  <c r="A201" i="2"/>
  <c r="A200" i="2"/>
  <c r="E141" i="2"/>
  <c r="F61" i="2"/>
  <c r="E61" i="2"/>
  <c r="D61" i="2"/>
  <c r="C61" i="2"/>
  <c r="E14" i="5"/>
  <c r="D14" i="5"/>
  <c r="C14" i="5"/>
  <c r="E13" i="5"/>
  <c r="D13" i="5"/>
  <c r="C13" i="5"/>
  <c r="E12" i="5"/>
  <c r="D12" i="5"/>
  <c r="C12" i="5"/>
  <c r="E10" i="5"/>
  <c r="D10" i="5"/>
  <c r="C10" i="5"/>
  <c r="E9" i="5"/>
  <c r="D9" i="5"/>
  <c r="C9" i="5"/>
  <c r="E8" i="5"/>
  <c r="D8" i="5"/>
  <c r="C8" i="5"/>
  <c r="D4" i="5"/>
  <c r="C4" i="5"/>
  <c r="D35" i="5"/>
  <c r="C35" i="5"/>
  <c r="D34" i="5"/>
  <c r="C34" i="5"/>
  <c r="D33" i="5"/>
  <c r="C33" i="5"/>
  <c r="D32" i="5"/>
  <c r="C32" i="5"/>
  <c r="E31" i="5"/>
  <c r="D31" i="5"/>
  <c r="C31" i="5"/>
  <c r="E30" i="5"/>
  <c r="D30" i="5"/>
  <c r="C30" i="5"/>
  <c r="G80" i="4"/>
  <c r="G68" i="4"/>
  <c r="G67" i="4"/>
  <c r="G64" i="4"/>
  <c r="F64" i="4"/>
  <c r="E64" i="4"/>
  <c r="D64" i="4"/>
  <c r="G62" i="4"/>
  <c r="G61" i="4"/>
  <c r="G60" i="4"/>
  <c r="G59" i="4"/>
  <c r="E59" i="4"/>
  <c r="D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4" i="4"/>
  <c r="G33" i="4"/>
  <c r="G27" i="4"/>
  <c r="G26" i="4"/>
  <c r="G25" i="4"/>
  <c r="G24" i="4"/>
  <c r="G23" i="4"/>
  <c r="G22" i="4"/>
  <c r="F22" i="4"/>
  <c r="E22" i="4"/>
  <c r="D22" i="4"/>
  <c r="G21" i="4"/>
  <c r="F21" i="4"/>
  <c r="E21" i="4"/>
  <c r="D21" i="4"/>
  <c r="G20" i="4"/>
  <c r="G19" i="4"/>
  <c r="F19" i="4"/>
  <c r="E19" i="4"/>
  <c r="D19" i="4"/>
  <c r="G18" i="4"/>
  <c r="G17" i="4"/>
  <c r="G16" i="4"/>
  <c r="G15" i="4"/>
  <c r="F15" i="4"/>
  <c r="E15" i="4"/>
  <c r="D15" i="4"/>
  <c r="G14" i="4"/>
  <c r="G13" i="4"/>
  <c r="G12" i="4"/>
  <c r="G11" i="4"/>
  <c r="G10" i="4"/>
  <c r="F10" i="4"/>
  <c r="E10" i="4"/>
  <c r="D10" i="4"/>
  <c r="G9" i="4"/>
  <c r="G6" i="4"/>
  <c r="E5" i="4"/>
  <c r="D5" i="4"/>
  <c r="G5" i="4" s="1"/>
  <c r="G4" i="4"/>
  <c r="C39" i="5"/>
  <c r="C40" i="5"/>
  <c r="C41" i="5"/>
  <c r="C42" i="5"/>
  <c r="C43" i="5"/>
  <c r="C44" i="5"/>
  <c r="C45" i="5"/>
  <c r="C27" i="3"/>
  <c r="C18" i="7" s="1"/>
  <c r="E18" i="7" s="1"/>
  <c r="C8" i="2"/>
  <c r="C23" i="2" s="1"/>
  <c r="A1" i="2"/>
  <c r="E11" i="7"/>
  <c r="E10" i="7"/>
  <c r="E7" i="7"/>
  <c r="E6" i="7"/>
  <c r="C5" i="7"/>
  <c r="E5" i="7" s="1"/>
  <c r="C4" i="7"/>
  <c r="E4" i="7" s="1"/>
  <c r="F90" i="4"/>
  <c r="F89" i="4"/>
  <c r="F88" i="4"/>
  <c r="F87" i="4"/>
  <c r="F86" i="4"/>
  <c r="F85" i="4"/>
  <c r="F84" i="4"/>
  <c r="F83" i="4"/>
  <c r="F82" i="4"/>
  <c r="F81" i="4"/>
  <c r="F79" i="4"/>
  <c r="F78" i="4"/>
  <c r="F77" i="4"/>
  <c r="F76" i="4"/>
  <c r="F75" i="4"/>
  <c r="F74" i="4"/>
  <c r="F73" i="4"/>
  <c r="F72" i="4"/>
  <c r="F71" i="4"/>
  <c r="F70" i="4"/>
  <c r="F69" i="4"/>
  <c r="F66" i="4"/>
  <c r="F65" i="4"/>
  <c r="F58" i="4"/>
  <c r="F57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39" i="4"/>
  <c r="F38" i="4"/>
  <c r="F37" i="4"/>
  <c r="F36" i="4"/>
  <c r="F35" i="4"/>
  <c r="F34" i="4"/>
  <c r="F32" i="4"/>
  <c r="F31" i="4"/>
  <c r="F30" i="4"/>
  <c r="F29" i="4"/>
  <c r="F28" i="4"/>
  <c r="F8" i="4"/>
  <c r="F7" i="4"/>
  <c r="F5" i="4"/>
  <c r="C26" i="3"/>
  <c r="C17" i="7" s="1"/>
  <c r="E17" i="7" s="1"/>
  <c r="C25" i="3"/>
  <c r="B182" i="2" s="1"/>
  <c r="C24" i="3"/>
  <c r="C16" i="7" s="1"/>
  <c r="E16" i="7" s="1"/>
  <c r="B188" i="2"/>
  <c r="D134" i="2"/>
  <c r="C134" i="2"/>
  <c r="D133" i="2"/>
  <c r="C133" i="2"/>
  <c r="D131" i="2"/>
  <c r="C131" i="2"/>
  <c r="D130" i="2"/>
  <c r="C130" i="2"/>
  <c r="C128" i="2"/>
  <c r="C127" i="2"/>
  <c r="D126" i="2"/>
  <c r="C126" i="2"/>
  <c r="D125" i="2"/>
  <c r="C125" i="2"/>
  <c r="D124" i="2"/>
  <c r="C124" i="2"/>
  <c r="D118" i="2"/>
  <c r="C118" i="2"/>
  <c r="D116" i="2"/>
  <c r="C116" i="2"/>
  <c r="C46" i="2"/>
  <c r="C31" i="2"/>
  <c r="C30" i="2"/>
  <c r="C29" i="2"/>
  <c r="C28" i="2"/>
  <c r="C27" i="2"/>
  <c r="C22" i="2"/>
  <c r="C13" i="2"/>
  <c r="E179" i="2" s="1"/>
  <c r="C106" i="2" l="1"/>
  <c r="C108" i="2" s="1"/>
  <c r="E75" i="2"/>
  <c r="E88" i="2"/>
  <c r="E89" i="2" s="1"/>
  <c r="E149" i="2" s="1"/>
  <c r="G85" i="2"/>
  <c r="E125" i="2"/>
  <c r="D90" i="2"/>
  <c r="C119" i="2"/>
  <c r="C151" i="2"/>
  <c r="C89" i="2"/>
  <c r="C95" i="2"/>
  <c r="D117" i="2"/>
  <c r="C101" i="2"/>
  <c r="C65" i="2"/>
  <c r="F85" i="2"/>
  <c r="D169" i="2"/>
  <c r="C117" i="2"/>
  <c r="B191" i="2"/>
  <c r="B193" i="2" s="1"/>
  <c r="E76" i="2"/>
  <c r="E118" i="2"/>
  <c r="E169" i="2" s="1"/>
  <c r="E220" i="2"/>
  <c r="B201" i="2"/>
  <c r="E127" i="2"/>
  <c r="C169" i="2"/>
  <c r="D119" i="2"/>
  <c r="D76" i="2"/>
  <c r="F64" i="2"/>
  <c r="D220" i="2"/>
  <c r="C27" i="7"/>
  <c r="E27" i="7" s="1"/>
  <c r="F56" i="4"/>
  <c r="C38" i="5"/>
  <c r="F40" i="4"/>
  <c r="E13" i="7"/>
  <c r="C9" i="7"/>
  <c r="E9" i="7" s="1"/>
  <c r="C8" i="7"/>
  <c r="E8" i="7" s="1"/>
  <c r="E12" i="7"/>
  <c r="C21" i="2"/>
  <c r="C24" i="2" s="1"/>
  <c r="B180" i="2" s="1"/>
  <c r="D180" i="2" s="1"/>
  <c r="F182" i="2"/>
  <c r="C135" i="2"/>
  <c r="C168" i="2" s="1"/>
  <c r="D135" i="2"/>
  <c r="E17" i="2"/>
  <c r="E40" i="2" s="1"/>
  <c r="E182" i="2"/>
  <c r="C9" i="2"/>
  <c r="C120" i="2"/>
  <c r="C121" i="2" s="1"/>
  <c r="D120" i="2"/>
  <c r="D121" i="2" s="1"/>
  <c r="D182" i="2"/>
  <c r="C182" i="2"/>
  <c r="E90" i="2" l="1"/>
  <c r="E223" i="2"/>
  <c r="E116" i="2"/>
  <c r="E150" i="2"/>
  <c r="G64" i="2"/>
  <c r="F79" i="2"/>
  <c r="C104" i="2"/>
  <c r="E124" i="2"/>
  <c r="D98" i="2"/>
  <c r="D103" i="2"/>
  <c r="E222" i="2"/>
  <c r="E98" i="2"/>
  <c r="D194" i="2"/>
  <c r="E196" i="2"/>
  <c r="F196" i="2"/>
  <c r="C196" i="2"/>
  <c r="D196" i="2"/>
  <c r="E276" i="2"/>
  <c r="F276" i="2"/>
  <c r="F277" i="2" s="1"/>
  <c r="D277" i="2"/>
  <c r="E18" i="2"/>
  <c r="C15" i="2"/>
  <c r="F59" i="4"/>
  <c r="E15" i="7"/>
  <c r="C25" i="2"/>
  <c r="E180" i="2"/>
  <c r="E194" i="2" s="1"/>
  <c r="F180" i="2"/>
  <c r="F194" i="2" s="1"/>
  <c r="C180" i="2"/>
  <c r="C194" i="2" s="1"/>
  <c r="D225" i="2"/>
  <c r="D151" i="2" l="1"/>
  <c r="D106" i="2"/>
  <c r="D221" i="2"/>
  <c r="D222" i="2"/>
  <c r="E151" i="2"/>
  <c r="E221" i="2"/>
  <c r="C109" i="2"/>
  <c r="C152" i="2" s="1"/>
  <c r="D104" i="2"/>
  <c r="D108" i="2"/>
  <c r="E108" i="2"/>
  <c r="E104" i="2"/>
  <c r="H64" i="2"/>
  <c r="H79" i="2" s="1"/>
  <c r="G79" i="2"/>
  <c r="D281" i="2"/>
  <c r="B181" i="2"/>
  <c r="F181" i="2" s="1"/>
  <c r="F195" i="2" s="1"/>
  <c r="F279" i="2"/>
  <c r="F281" i="2" s="1"/>
  <c r="C26" i="7"/>
  <c r="E26" i="7"/>
  <c r="E14" i="7"/>
  <c r="E35" i="2"/>
  <c r="F35" i="2"/>
  <c r="B183" i="2"/>
  <c r="D252" i="2"/>
  <c r="D253" i="2"/>
  <c r="D237" i="2" l="1"/>
  <c r="D236" i="2"/>
  <c r="E236" i="2"/>
  <c r="E237" i="2"/>
  <c r="E109" i="2"/>
  <c r="E152" i="2" s="1"/>
  <c r="E224" i="2"/>
  <c r="D109" i="2"/>
  <c r="D152" i="2" s="1"/>
  <c r="D224" i="2"/>
  <c r="E28" i="7"/>
  <c r="F43" i="2"/>
  <c r="E55" i="2"/>
  <c r="E51" i="2"/>
  <c r="C181" i="2"/>
  <c r="C195" i="2" s="1"/>
  <c r="D181" i="2"/>
  <c r="D195" i="2" s="1"/>
  <c r="E181" i="2"/>
  <c r="E195" i="2" s="1"/>
  <c r="E53" i="2"/>
  <c r="E54" i="2"/>
  <c r="C28" i="7"/>
  <c r="D248" i="2"/>
  <c r="D183" i="2"/>
  <c r="D197" i="2" s="1"/>
  <c r="C183" i="2"/>
  <c r="C197" i="2" s="1"/>
  <c r="F183" i="2"/>
  <c r="F197" i="2" s="1"/>
  <c r="E183" i="2"/>
  <c r="E197" i="2" s="1"/>
  <c r="F55" i="2"/>
  <c r="D228" i="2" l="1"/>
  <c r="F53" i="2"/>
  <c r="F51" i="2"/>
  <c r="F54" i="2"/>
  <c r="H248" i="2"/>
  <c r="G248" i="2"/>
  <c r="F248" i="2"/>
  <c r="E248" i="2"/>
  <c r="D229" i="2"/>
  <c r="F228" i="2"/>
  <c r="H228" i="2"/>
  <c r="G228" i="2"/>
  <c r="E228" i="2"/>
  <c r="F229" i="2" l="1"/>
  <c r="E229" i="2"/>
  <c r="H229" i="2"/>
  <c r="G229" i="2"/>
  <c r="D240" i="2"/>
  <c r="D241" i="2"/>
  <c r="D245" i="2" l="1"/>
  <c r="D244" i="2"/>
  <c r="D69" i="2"/>
  <c r="D73" i="2"/>
  <c r="D232" i="2"/>
  <c r="D233" i="2" l="1"/>
  <c r="D65" i="2"/>
  <c r="E65" i="2"/>
  <c r="E160" i="2" s="1"/>
  <c r="E69" i="2"/>
  <c r="E161" i="2" s="1"/>
  <c r="E73" i="2"/>
  <c r="E162" i="2" s="1"/>
  <c r="E130" i="2"/>
  <c r="C202" i="2"/>
  <c r="D202" i="2"/>
  <c r="E202" i="2"/>
  <c r="F202" i="2"/>
  <c r="C203" i="2"/>
  <c r="D203" i="2"/>
  <c r="E203" i="2"/>
  <c r="F203" i="2"/>
  <c r="C211" i="2"/>
  <c r="D211" i="2"/>
  <c r="E211" i="2"/>
  <c r="F211" i="2"/>
  <c r="C212" i="2"/>
  <c r="D212" i="2"/>
  <c r="E212" i="2"/>
  <c r="F212" i="2"/>
  <c r="E232" i="2"/>
  <c r="E233" i="2" l="1"/>
  <c r="B206" i="2" l="1"/>
  <c r="D208" i="2" l="1"/>
  <c r="F208" i="2"/>
  <c r="E208" i="2"/>
  <c r="C207" i="2"/>
  <c r="D207" i="2"/>
  <c r="E207" i="2"/>
  <c r="F207" i="2"/>
  <c r="C208" i="2"/>
  <c r="E117" i="2" l="1"/>
  <c r="E249" i="2" l="1"/>
  <c r="E120" i="2"/>
  <c r="E121" i="2" s="1"/>
  <c r="E240" i="2"/>
  <c r="E241" i="2"/>
  <c r="E225" i="2" l="1"/>
  <c r="E244" i="2"/>
  <c r="E245" i="2"/>
  <c r="E252" i="2" l="1"/>
  <c r="E253" i="2"/>
  <c r="F68" i="2"/>
  <c r="F75" i="2" l="1"/>
  <c r="F76" i="2" s="1"/>
  <c r="F82" i="2"/>
  <c r="F88" i="2" s="1"/>
  <c r="F220" i="2"/>
  <c r="F127" i="2"/>
  <c r="F118" i="2"/>
  <c r="F65" i="2"/>
  <c r="F160" i="2" s="1"/>
  <c r="F69" i="2"/>
  <c r="F161" i="2" s="1"/>
  <c r="F223" i="2" l="1"/>
  <c r="F90" i="2"/>
  <c r="F89" i="2"/>
  <c r="F149" i="2" s="1"/>
  <c r="F73" i="2"/>
  <c r="F162" i="2" s="1"/>
  <c r="F169" i="2"/>
  <c r="F130" i="2"/>
  <c r="F233" i="2"/>
  <c r="F232" i="2"/>
  <c r="F124" i="2" l="1"/>
  <c r="F125" i="2"/>
  <c r="F116" i="2" l="1"/>
  <c r="F150" i="2"/>
  <c r="F98" i="2"/>
  <c r="F222" i="2"/>
  <c r="F151" i="2" l="1"/>
  <c r="F221" i="2"/>
  <c r="F108" i="2"/>
  <c r="F104" i="2"/>
  <c r="F117" i="2"/>
  <c r="F237" i="2" l="1"/>
  <c r="F236" i="2"/>
  <c r="F109" i="2"/>
  <c r="F152" i="2" s="1"/>
  <c r="F224" i="2"/>
  <c r="F240" i="2"/>
  <c r="F241" i="2"/>
  <c r="F120" i="2"/>
  <c r="F121" i="2" s="1"/>
  <c r="F249" i="2"/>
  <c r="F225" i="2" l="1"/>
  <c r="F245" i="2"/>
  <c r="F244" i="2"/>
  <c r="F253" i="2" l="1"/>
  <c r="F252" i="2"/>
  <c r="G68" i="2"/>
  <c r="G75" i="2" l="1"/>
  <c r="G82" i="2"/>
  <c r="G88" i="2" s="1"/>
  <c r="G76" i="2"/>
  <c r="G127" i="2"/>
  <c r="G118" i="2"/>
  <c r="G220" i="2"/>
  <c r="G233" i="2" s="1"/>
  <c r="G65" i="2"/>
  <c r="G160" i="2" s="1"/>
  <c r="G69" i="2"/>
  <c r="G161" i="2" s="1"/>
  <c r="G232" i="2"/>
  <c r="G90" i="2" l="1"/>
  <c r="G223" i="2"/>
  <c r="G89" i="2"/>
  <c r="G149" i="2" s="1"/>
  <c r="G73" i="2"/>
  <c r="G162" i="2" s="1"/>
  <c r="G169" i="2"/>
  <c r="G130" i="2"/>
  <c r="G125" i="2" l="1"/>
  <c r="G124" i="2"/>
  <c r="G116" i="2" l="1"/>
  <c r="G150" i="2"/>
  <c r="G98" i="2"/>
  <c r="G222" i="2"/>
  <c r="G221" i="2" l="1"/>
  <c r="G151" i="2"/>
  <c r="G108" i="2"/>
  <c r="G104" i="2"/>
  <c r="G236" i="2" l="1"/>
  <c r="G237" i="2"/>
  <c r="G224" i="2"/>
  <c r="G249" i="2" s="1"/>
  <c r="G109" i="2"/>
  <c r="G152" i="2" s="1"/>
  <c r="G117" i="2"/>
  <c r="G240" i="2"/>
  <c r="G241" i="2"/>
  <c r="G244" i="2" l="1"/>
  <c r="G245" i="2"/>
  <c r="G120" i="2"/>
  <c r="G121" i="2" s="1"/>
  <c r="G225" i="2" l="1"/>
  <c r="G252" i="2" l="1"/>
  <c r="G253" i="2"/>
  <c r="H68" i="2"/>
  <c r="H75" i="2" l="1"/>
  <c r="H127" i="2" s="1"/>
  <c r="H82" i="2"/>
  <c r="H88" i="2" s="1"/>
  <c r="H118" i="2"/>
  <c r="H220" i="2"/>
  <c r="H77" i="2"/>
  <c r="H65" i="2"/>
  <c r="H160" i="2" s="1"/>
  <c r="H69" i="2"/>
  <c r="H161" i="2" s="1"/>
  <c r="H90" i="2" l="1"/>
  <c r="H89" i="2"/>
  <c r="H149" i="2" s="1"/>
  <c r="H223" i="2"/>
  <c r="H73" i="2"/>
  <c r="H162" i="2" s="1"/>
  <c r="H232" i="2"/>
  <c r="H233" i="2"/>
  <c r="H169" i="2"/>
  <c r="H130" i="2"/>
  <c r="H125" i="2" l="1"/>
  <c r="H124" i="2"/>
  <c r="H150" i="2" l="1"/>
  <c r="H116" i="2"/>
  <c r="H222" i="2"/>
  <c r="H98" i="2"/>
  <c r="H221" i="2" l="1"/>
  <c r="H151" i="2"/>
  <c r="H104" i="2"/>
  <c r="H108" i="2"/>
  <c r="H117" i="2"/>
  <c r="H120" i="2"/>
  <c r="H121" i="2" s="1"/>
  <c r="H240" i="2"/>
  <c r="H241" i="2"/>
  <c r="H237" i="2" l="1"/>
  <c r="H236" i="2"/>
  <c r="H224" i="2"/>
  <c r="H249" i="2" s="1"/>
  <c r="H109" i="2"/>
  <c r="H152" i="2" s="1"/>
  <c r="H225" i="2"/>
  <c r="H245" i="2"/>
  <c r="E275" i="2"/>
  <c r="E277" i="2" s="1"/>
  <c r="E279" i="2" s="1"/>
  <c r="E281" i="2" s="1"/>
  <c r="H244" i="2"/>
  <c r="H252" i="2" l="1"/>
  <c r="H2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C12" authorId="0" shapeId="0" xr:uid="{13DB7C52-F1FC-0A48-8DE0-FA04F5B69B2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Drives valuation column header (D in IPO_Analysis).</t>
        </r>
      </text>
    </comment>
    <comment ref="C13" authorId="0" shapeId="0" xr:uid="{CAB7D354-328D-6647-9B45-4488E1D0688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Drives prior-year column header (C in IPO_Analysis).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B8" authorId="0" shapeId="0" xr:uid="{B57A74ED-91AD-A847-90FA-DEB7920642F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Space-enabled solutions excl. satellite comms (those are in Connectivity). Per Novaspace 2025.</t>
        </r>
      </text>
    </comment>
    <comment ref="B9" authorId="0" shapeId="0" xr:uid="{5648DB9E-C16F-9442-91A3-113CAE666A3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Starlink Broadband ($870B) + Starlink Mobile ($740B). Primarily consumer + enterprise.</t>
        </r>
      </text>
    </comment>
    <comment ref="B10" authorId="0" shapeId="0" xr:uid="{68A4DECD-66D6-A54C-9C5D-B2E413DF2C1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Infrastructure $2.4T + Consumer subs $760B + Digital ads $600B + Enterprise apps $22.7T.</t>
        </r>
      </text>
    </comment>
    <comment ref="B12" authorId="0" shapeId="0" xr:uid="{D625F891-01FE-2B4D-8991-A297E505D16A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Company's stated TAM, rounded up from $28,440B sum.</t>
        </r>
      </text>
    </comment>
    <comment ref="B18" authorId="0" shapeId="0" xr:uid="{4F7E00ED-BC8E-4F4E-9E53-1B00F3D8360A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Novaspace 2025 estimate. Includes launch, manufacturing, satellite ops, PNT, gov agency spend.</t>
        </r>
      </text>
    </comment>
    <comment ref="B19" authorId="0" shapeId="0" xr:uid="{88BF9293-1171-AE46-BE5B-306588642E6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Households × ARPU × 12 months.</t>
        </r>
      </text>
    </comment>
    <comment ref="B20" authorId="0" shapeId="0" xr:uid="{FDFC0017-139D-5B4A-B54B-237B358A33D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Grand View Research 2025 business broadband market.</t>
        </r>
      </text>
    </comment>
    <comment ref="B21" authorId="0" shapeId="0" xr:uid="{82E4719D-1614-144A-BE91-993FE29F91F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Novaspace gov satellite comms only. Excludes classified missions.</t>
        </r>
      </text>
    </comment>
    <comment ref="B22" authorId="0" shapeId="0" xr:uid="{35BC4BB1-46E8-0846-8F64-FE040C5FF9D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8.0B mobile devices × $8/mo × 12 = $768B (rounded down to $740B for region weighting).</t>
        </r>
      </text>
    </comment>
    <comment ref="B23" authorId="0" shapeId="0" xr:uid="{C796052B-828E-7C48-9FAD-5145D8597A7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GPU compute opportunity. 235 GW data center demand × 70% AI × 1/PUE × GPU rental econ.</t>
        </r>
      </text>
    </comment>
    <comment ref="B24" authorId="0" shapeId="0" xr:uid="{D66FB498-3DBA-CC4B-A9C1-617A7919C1B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5.5B people age 10+ × $12/mo × 12 = $792B (rounded to $760B).</t>
        </r>
      </text>
    </comment>
    <comment ref="B25" authorId="0" shapeId="0" xr:uid="{C81A6BA2-948A-7E42-A58E-AA2FB6D61657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S&amp;P Global Market Intelligence 2025 global digital ad spend.</t>
        </r>
      </text>
    </comment>
    <comment ref="B26" authorId="0" shapeId="0" xr:uid="{CFA35F55-4698-C947-83D1-76220B737D1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Digital Cooperation Organization 2026 digital economy estimate. Very broad — ceiling, not SOM.</t>
        </r>
      </text>
    </comment>
    <comment ref="C32" authorId="0" shapeId="0" xr:uid="{4BDCEC15-5BA0-4A42-86DE-EBE1D893DAA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Billions of households.</t>
        </r>
      </text>
    </comment>
    <comment ref="C55" authorId="0" shapeId="0" xr:uid="{7DBEEF18-1024-5240-936B-1E1D0DB0DCD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H100 SXM reference.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C7" authorId="0" shapeId="0" xr:uid="{314F4D7A-62C3-2942-B84C-4135A2F85390}">
      <text>
        <r>
          <rPr>
            <b/>
            <sz val="10"/>
            <color rgb="FF000000"/>
            <rFont val="Tahoma"/>
            <family val="2"/>
          </rPr>
          <t>Primary shares offered (PLACEHOLDER — S-1 leaves this blank). 800M Class A at $125 midpoint = $100B gross primary / $115B with greenshoe. Sized to match reported $100B target raise.</t>
        </r>
      </text>
    </comment>
    <comment ref="C12" authorId="0" shapeId="0" xr:uid="{295065E0-3990-4B46-8B7D-242AD25A77B0}">
      <text>
        <r>
          <rPr>
            <b/>
            <sz val="10"/>
            <color rgb="FF000000"/>
            <rFont val="Tahoma"/>
            <family val="2"/>
          </rPr>
          <t>Placeholder IPO price range low. At $125 midpoint, implies ~$1.85T FD market cap (vs. SpaceX reported ~$400B last private valuation; aspirational based on $100B raise target).</t>
        </r>
      </text>
    </comment>
    <comment ref="C14" authorId="0" shapeId="0" xr:uid="{1890CC97-DE22-B845-A083-91DD4F0A7802}">
      <text>
        <r>
          <rPr>
            <b/>
            <sz val="10"/>
            <color rgb="FF000000"/>
            <rFont val="Tahoma"/>
            <family val="2"/>
          </rPr>
          <t>Placeholder IPO price range high. At $125 midpoint, implies ~$1.85T FD market cap.</t>
        </r>
      </text>
    </comment>
    <comment ref="C32" authorId="0" shapeId="0" xr:uid="{CB632FA6-7313-8240-B052-E9015DAEC0A8}">
      <text>
        <r>
          <rPr>
            <b/>
            <sz val="10"/>
            <color rgb="FF000000"/>
            <rFont val="Tahoma"/>
            <family val="2"/>
          </rPr>
          <t>Fully diluted = basic post-IPO (incl. greenshoe) + options outstanding + RSUs outstanding + performance &amp; market condition awards + EchoStar shares + Cursor option shares. From Share_Count tab.</t>
        </r>
      </text>
    </comment>
    <comment ref="E37" authorId="0" shapeId="0" xr:uid="{A8DDDFA7-B54E-0947-B0FA-B5343DC2F5C0}">
      <text>
        <r>
          <rPr>
            <b/>
            <sz val="10"/>
            <color rgb="FF000000"/>
            <rFont val="Tahoma"/>
            <family val="2"/>
          </rPr>
          <t>Cash &amp; equivalents — subtracted in EV bridge (cash reduces enterprise value).</t>
        </r>
      </text>
    </comment>
    <comment ref="E38" authorId="0" shapeId="0" xr:uid="{5EFA58B1-5C16-F741-ADE9-8438FDAB724E}">
      <text>
        <r>
          <rPr>
            <b/>
            <sz val="10"/>
            <color rgb="FF000000"/>
            <rFont val="Tahoma"/>
            <family val="2"/>
          </rPr>
          <t>Marketable securities — subtracted in EV bridge.</t>
        </r>
      </text>
    </comment>
    <comment ref="E39" authorId="0" shapeId="0" xr:uid="{46A62049-7D4D-424A-8AE7-164FB05D8C90}">
      <text>
        <r>
          <rPr>
            <b/>
            <sz val="10"/>
            <color rgb="FF000000"/>
            <rFont val="Tahoma"/>
            <family val="2"/>
          </rPr>
          <t>Digital assets (crypto holdings) — subtracted in EV bridge.</t>
        </r>
      </text>
    </comment>
    <comment ref="E40" authorId="0" shapeId="0" xr:uid="{D7E7ED33-D4C0-8746-A2B7-4B6A719946E6}">
      <text>
        <r>
          <rPr>
            <b/>
            <sz val="10"/>
            <color rgb="FF000000"/>
            <rFont val="Tahoma"/>
            <family val="2"/>
          </rPr>
          <t>Net IPO proceeds — subtracted (cash added by IPO). Negative because EV bridge subtracts cash.</t>
        </r>
      </text>
    </comment>
    <comment ref="E41" authorId="0" shapeId="0" xr:uid="{403E7427-BEB6-2E41-A82B-B2868388DD6F}">
      <text>
        <r>
          <rPr>
            <b/>
            <sz val="10"/>
            <color rgb="FF000000"/>
            <rFont val="Tahoma"/>
            <family val="2"/>
          </rPr>
          <t>Total debt = current debt + long-term debt from Dec 31 2025 balance sheet. Added back in EV bridge.</t>
        </r>
      </text>
    </comment>
    <comment ref="E42" authorId="0" shapeId="0" xr:uid="{2E4071DE-23CD-B141-A274-0382AEC4E309}">
      <text>
        <r>
          <rPr>
            <b/>
            <sz val="10"/>
            <color rgb="FF000000"/>
            <rFont val="Tahoma"/>
            <family val="2"/>
          </rPr>
          <t>Net cash bridge = sum of EV adjustments. Negative value means net cash position (cash &gt; debt), which reduces EV below market cap.</t>
        </r>
      </text>
    </comment>
    <comment ref="E43" authorId="0" shapeId="0" xr:uid="{1F7E6814-1989-5346-8700-E298C505010C}">
      <text>
        <r>
          <rPr>
            <b/>
            <sz val="10"/>
            <color rgb="FF000000"/>
            <rFont val="Tahoma"/>
            <family val="2"/>
          </rPr>
          <t>Basic Enterprise Value = Market Cap + Net cash adjustment. Equivalent to: Mkt Cap + Total debt − Cash − Marketable sec − Digital − IPO proceeds.</t>
        </r>
      </text>
    </comment>
    <comment ref="C47" authorId="0" shapeId="0" xr:uid="{E6CB61B2-9DC8-CD41-A57E-2F8E47CBB127}">
      <text>
        <r>
          <rPr>
            <b/>
            <sz val="10"/>
            <color rgb="FF000000"/>
            <rFont val="Tahoma"/>
            <family val="2"/>
          </rPr>
          <t>FY 2025 Operating loss = $(2,589)M from Annual_Financials!D15 (disclosed in S-1 §3).</t>
        </r>
      </text>
    </comment>
    <comment ref="C48" authorId="0" shapeId="0" xr:uid="{B351F532-65BD-1E49-A6EE-0D5955418FD5}">
      <text>
        <r>
          <rPr>
            <b/>
            <sz val="10"/>
            <color rgb="FF000000"/>
            <rFont val="Tahoma"/>
            <family val="2"/>
          </rPr>
          <t>FY 2025 EBITDA = Op loss + D&amp;A + Restructuring + Impairment. D&amp;A is placeholder back-solved from disclosed Adj EBITDA.</t>
        </r>
      </text>
    </comment>
    <comment ref="C49" authorId="0" shapeId="0" xr:uid="{3D4FFE4B-3A10-FA41-8427-41AB2A920390}">
      <text>
        <r>
          <rPr>
            <b/>
            <sz val="10"/>
            <color rgb="FF000000"/>
            <rFont val="Tahoma"/>
            <family val="2"/>
          </rPr>
          <t>FY 2025 Adj EBITDA = $6,584M (disclosed in S-1 §3 Annual consolidated financials).</t>
        </r>
      </text>
    </comment>
    <comment ref="E52" authorId="0" shapeId="0" xr:uid="{46638AC8-B21F-5842-AE76-C133C90EA969}">
      <text>
        <r>
          <rPr>
            <b/>
            <sz val="10"/>
            <color rgb="FF000000"/>
            <rFont val="Tahoma"/>
            <family val="2"/>
          </rPr>
          <t>FY 2025 had operating loss, so EV/Op Income displays N/M (not meaningful).</t>
        </r>
      </text>
    </comment>
    <comment ref="C64" authorId="0" shapeId="0" xr:uid="{C4D6767F-9FB2-B946-82EF-594D5918FD93}">
      <text>
        <r>
          <rPr>
            <b/>
            <sz val="10"/>
            <color rgb="FF000000"/>
            <rFont val="Tahoma"/>
            <family val="2"/>
          </rPr>
          <t>Source: SpaceX S-1 §5. FY 2024 Space segment revenue = $3,796M.</t>
        </r>
      </text>
    </comment>
    <comment ref="D64" authorId="0" shapeId="0" xr:uid="{A6479254-8DA9-C346-BD8B-F70C673F0B45}">
      <text>
        <r>
          <rPr>
            <b/>
            <sz val="10"/>
            <color rgb="FF000000"/>
            <rFont val="Tahoma"/>
            <family val="2"/>
          </rPr>
          <t>Source: SpaceX S-1 §5. FY 2025 Space segment revenue = $4,086M.</t>
        </r>
      </text>
    </comment>
    <comment ref="C66" authorId="0" shapeId="0" xr:uid="{A008B496-A44D-1B4D-A271-73E3547E0837}">
      <text>
        <r>
          <rPr>
            <b/>
            <sz val="10"/>
            <color rgb="FF000000"/>
            <rFont val="Tahoma"/>
            <family val="2"/>
          </rPr>
          <t>FY 2024 Space revenue growth = 3,796 / 3,557 - 1 = 6.7%.</t>
        </r>
      </text>
    </comment>
    <comment ref="E66" authorId="0" shapeId="0" xr:uid="{813F87C0-100D-9045-8EB3-622289462EA4}">
      <text>
        <r>
          <rPr>
            <b/>
            <sz val="10"/>
            <color rgb="FF000000"/>
            <rFont val="Tahoma"/>
            <family val="2"/>
          </rPr>
          <t>FY26E Space growth driver — 10%. Starship commercialization beginning + customer launch demand.</t>
        </r>
      </text>
    </comment>
    <comment ref="F66" authorId="0" shapeId="0" xr:uid="{24C2F9F4-AC68-9247-8824-04CA13507F6D}">
      <text>
        <r>
          <rPr>
            <b/>
            <sz val="10"/>
            <color rgb="FF000000"/>
            <rFont val="Tahoma"/>
            <family val="2"/>
          </rPr>
          <t>FY27E Space growth — 15%. Starship payload deliveries accelerating.</t>
        </r>
      </text>
    </comment>
    <comment ref="G66" authorId="0" shapeId="0" xr:uid="{45DFA9A3-6B90-7B48-89A0-F23C65F25836}">
      <text>
        <r>
          <rPr>
            <b/>
            <sz val="10"/>
            <color rgb="FF000000"/>
            <rFont val="Tahoma"/>
            <family val="2"/>
          </rPr>
          <t>FY28E Space growth — 18%.</t>
        </r>
      </text>
    </comment>
    <comment ref="H66" authorId="0" shapeId="0" xr:uid="{4CD4AF37-FB04-244C-87FD-7482F44425DA}">
      <text>
        <r>
          <rPr>
            <b/>
            <sz val="10"/>
            <color rgb="FF000000"/>
            <rFont val="Tahoma"/>
            <family val="2"/>
          </rPr>
          <t>FY29E Space growth — 20%.</t>
        </r>
      </text>
    </comment>
    <comment ref="C68" authorId="0" shapeId="0" xr:uid="{A795B76A-314C-1346-B5BD-51CBE8C84365}">
      <text>
        <r>
          <rPr>
            <b/>
            <sz val="10"/>
            <color rgb="FF000000"/>
            <rFont val="Tahoma"/>
            <family val="2"/>
          </rPr>
          <t>Source: SpaceX S-1 §5. FY 2024 Connectivity segment revenue = $7,599M.</t>
        </r>
      </text>
    </comment>
    <comment ref="D68" authorId="0" shapeId="0" xr:uid="{434B9805-F645-C742-AFC3-70504AB1B391}">
      <text>
        <r>
          <rPr>
            <b/>
            <sz val="10"/>
            <color rgb="FF000000"/>
            <rFont val="Tahoma"/>
            <family val="2"/>
          </rPr>
          <t>Source: SpaceX S-1 §5. FY 2025 Connectivity segment revenue = $11,387M (+49.8% YoY).</t>
        </r>
      </text>
    </comment>
    <comment ref="E68" authorId="0" shapeId="0" xr:uid="{93989043-095D-E145-A36A-58245A05AA76}">
      <text>
        <r>
          <rPr>
            <b/>
            <sz val="10"/>
            <color rgb="FF000000"/>
            <rFont val="Tahoma"/>
            <family val="2"/>
          </rPr>
          <t xml:space="preserve">FY26E Connectivity = FY25 </t>
        </r>
        <r>
          <rPr>
            <b/>
            <sz val="10"/>
            <color rgb="FF000000"/>
            <rFont val="Tahoma"/>
            <family val="2"/>
          </rPr>
          <t>×</t>
        </r>
        <r>
          <rPr>
            <b/>
            <sz val="10"/>
            <color rgb="FF000000"/>
            <rFont val="Tahoma"/>
            <family val="2"/>
          </rPr>
          <t xml:space="preserve"> (1 + growth driver).</t>
        </r>
      </text>
    </comment>
    <comment ref="C70" authorId="0" shapeId="0" xr:uid="{414F26FB-0ED2-0F40-AD42-E04828A04E45}">
      <text>
        <r>
          <rPr>
            <b/>
            <sz val="10"/>
            <color rgb="FF000000"/>
            <rFont val="Tahoma"/>
            <family val="2"/>
          </rPr>
          <t>FY 2024 Connectivity revenue growth = 7,599 / 3,869 - 1 = 96.4%. Pre-disclosed in S-1 §5.</t>
        </r>
      </text>
    </comment>
    <comment ref="E70" authorId="0" shapeId="0" xr:uid="{E9FFEBDF-A30C-DA45-A561-EF23663911D0}">
      <text>
        <r>
          <rPr>
            <b/>
            <sz val="10"/>
            <color rgb="FF000000"/>
            <rFont val="Tahoma"/>
            <family val="2"/>
          </rPr>
          <t>FY26E Connectivity growth driver — 45%. Subscriber ramp continues; ARPU compression as international/lower-tier mix grows.</t>
        </r>
      </text>
    </comment>
    <comment ref="F70" authorId="0" shapeId="0" xr:uid="{070CED4B-C303-FB4D-A0AB-D926B99AEE62}">
      <text>
        <r>
          <rPr>
            <b/>
            <sz val="10"/>
            <color rgb="FF000000"/>
            <rFont val="Tahoma"/>
            <family val="2"/>
          </rPr>
          <t>FY27E Connectivity growth driver — 40%. Subscriber scale continues; Starlink Mobile ramp; ARPU compression.</t>
        </r>
      </text>
    </comment>
    <comment ref="G70" authorId="0" shapeId="0" xr:uid="{E93D3DF1-C21E-B941-8571-7EDE1EDD2613}">
      <text>
        <r>
          <rPr>
            <b/>
            <sz val="10"/>
            <color rgb="FF000000"/>
            <rFont val="Tahoma"/>
            <family val="2"/>
          </rPr>
          <t>FY28E Connectivity growth driver — 30%.</t>
        </r>
      </text>
    </comment>
    <comment ref="H70" authorId="0" shapeId="0" xr:uid="{0AFB5803-BFA2-E847-8209-EB19CFF27D93}">
      <text>
        <r>
          <rPr>
            <b/>
            <sz val="10"/>
            <color rgb="FF000000"/>
            <rFont val="Tahoma"/>
            <family val="2"/>
          </rPr>
          <t>FY29E Connectivity growth driver — 25%.</t>
        </r>
      </text>
    </comment>
    <comment ref="C72" authorId="0" shapeId="0" xr:uid="{0ED03238-8D16-0046-87DF-20E809F21A26}">
      <text>
        <r>
          <rPr>
            <b/>
            <sz val="10"/>
            <color rgb="FF000000"/>
            <rFont val="Tahoma"/>
            <family val="2"/>
          </rPr>
          <t>Source: SpaceX S-1 §5. FY 2024 AI segment revenue = $2,620M.</t>
        </r>
      </text>
    </comment>
    <comment ref="D72" authorId="0" shapeId="0" xr:uid="{36FA3B5F-177B-BB4D-BEFA-A997A44E0A84}">
      <text>
        <r>
          <rPr>
            <b/>
            <sz val="10"/>
            <color rgb="FF000000"/>
            <rFont val="Tahoma"/>
            <family val="2"/>
          </rPr>
          <t>Source: SpaceX S-1 §5. FY 2025 AI segment revenue = $3,201M (+22.2% YoY — X ad platform recovery).</t>
        </r>
      </text>
    </comment>
    <comment ref="E72" authorId="0" shapeId="0" xr:uid="{C5757CB1-A4FE-414D-9472-6DC6BEA119EF}">
      <text>
        <r>
          <rPr>
            <b/>
            <sz val="10"/>
            <color rgb="FF000000"/>
            <rFont val="Tahoma"/>
            <family val="2"/>
          </rPr>
          <t xml:space="preserve">FY26E AI revenue = FY25 AI </t>
        </r>
        <r>
          <rPr>
            <b/>
            <sz val="10"/>
            <color rgb="FF000000"/>
            <rFont val="Tahoma"/>
            <family val="2"/>
          </rPr>
          <t>×</t>
        </r>
        <r>
          <rPr>
            <b/>
            <sz val="10"/>
            <color rgb="FF000000"/>
            <rFont val="Tahoma"/>
            <family val="2"/>
          </rPr>
          <t xml:space="preserve"> (1 + AI growth driver).</t>
        </r>
      </text>
    </comment>
    <comment ref="F72" authorId="0" shapeId="0" xr:uid="{D8F3C276-8B19-1343-8C8B-CB7FD2DB280D}">
      <text>
        <r>
          <rPr>
            <b/>
            <sz val="10"/>
            <color rgb="FF000000"/>
            <rFont val="Tahoma"/>
            <family val="2"/>
          </rPr>
          <t>FY27E AI revenue.</t>
        </r>
      </text>
    </comment>
    <comment ref="G72" authorId="0" shapeId="0" xr:uid="{A8EC9667-FD9A-6943-8E44-318A67088E7A}">
      <text>
        <r>
          <rPr>
            <b/>
            <sz val="10"/>
            <color rgb="FF000000"/>
            <rFont val="Tahoma"/>
            <family val="2"/>
          </rPr>
          <t>FY28E AI revenue.</t>
        </r>
      </text>
    </comment>
    <comment ref="H72" authorId="0" shapeId="0" xr:uid="{7FA45B0E-2ADC-1844-BD20-1790A0448BED}">
      <text>
        <r>
          <rPr>
            <b/>
            <sz val="10"/>
            <color rgb="FF000000"/>
            <rFont val="Tahoma"/>
            <family val="2"/>
          </rPr>
          <t>FY29E AI revenue.</t>
        </r>
      </text>
    </comment>
    <comment ref="C74" authorId="0" shapeId="0" xr:uid="{752442E0-5A74-2349-9A87-90BA900226C1}">
      <text>
        <r>
          <rPr>
            <b/>
            <sz val="10"/>
            <color rgb="FF000000"/>
            <rFont val="Tahoma"/>
            <family val="2"/>
          </rPr>
          <t>FY 2024 AI revenue growth = 2,620 / 2,961 - 1 = (11.5)%. Decline driven by X advertising platform overhaul.</t>
        </r>
      </text>
    </comment>
    <comment ref="E74" authorId="0" shapeId="0" xr:uid="{06BD9173-E803-BF4D-96B8-34AA367C3884}">
      <text>
        <r>
          <rPr>
            <b/>
            <sz val="10"/>
            <color rgb="FF000000"/>
            <rFont val="Tahoma"/>
            <family val="2"/>
          </rPr>
          <t>FY26E AI growth driver — 350%. Anthropic compute deal ($1.25B/mo from May 2026 = ~$9B partial year) + organic X/Grok growth from $3.2B base.</t>
        </r>
      </text>
    </comment>
    <comment ref="F74" authorId="0" shapeId="0" xr:uid="{A1BC6908-6677-0B49-9CEC-09EAD3D5F885}">
      <text>
        <r>
          <rPr>
            <b/>
            <sz val="10"/>
            <color rgb="FF000000"/>
            <rFont val="Tahoma"/>
            <family val="2"/>
          </rPr>
          <t>FY27E AI growth driver — 35%. Anthropic at full $15B annual run-rate; X/Grok organic growth.</t>
        </r>
      </text>
    </comment>
    <comment ref="G74" authorId="0" shapeId="0" xr:uid="{6FE78180-33E6-874B-AF37-2F7BA15FC78B}">
      <text>
        <r>
          <rPr>
            <b/>
            <sz val="10"/>
            <color rgb="FF000000"/>
            <rFont val="Tahoma"/>
            <family val="2"/>
          </rPr>
          <t>FY28E AI growth driver — 40%. Anthropic steady + X/Grok scaling + new compute customers.</t>
        </r>
      </text>
    </comment>
    <comment ref="H74" authorId="0" shapeId="0" xr:uid="{0516DC3D-41CE-E94C-919B-614B6E60059C}">
      <text>
        <r>
          <rPr>
            <b/>
            <sz val="10"/>
            <color rgb="FF000000"/>
            <rFont val="Tahoma"/>
            <family val="2"/>
          </rPr>
          <t>FY29E AI growth driver — 30%. Anthropic contract expires May 2029 (5 months full + 7 months replacement); assumes new compute customers materialize.</t>
        </r>
      </text>
    </comment>
    <comment ref="C75" authorId="0" shapeId="0" xr:uid="{BAAEA956-D08D-A24B-B130-65E599B58127}">
      <text>
        <r>
          <rPr>
            <b/>
            <sz val="10"/>
            <color rgb="FF000000"/>
            <rFont val="Tahoma"/>
            <family val="2"/>
          </rPr>
          <t>FY 2024 Total revenue = $14,015M (ties to S-1 §3 disclosed total).</t>
        </r>
      </text>
    </comment>
    <comment ref="C76" authorId="0" shapeId="0" xr:uid="{0BCB2716-7510-5A40-A50D-387562D1DAE7}">
      <text>
        <r>
          <rPr>
            <b/>
            <sz val="10"/>
            <color rgb="FF000000"/>
            <rFont val="Tahoma"/>
            <family val="2"/>
          </rPr>
          <t>FY 2024 Total revenue growth = 14,015 / 10,387 (FY23) - 1 = 34.9%.</t>
        </r>
      </text>
    </comment>
    <comment ref="H76" authorId="0" shapeId="0" xr:uid="{52E13876-1BDF-3442-B957-E7F9BF28E3ED}">
      <text>
        <r>
          <rPr>
            <b/>
            <sz val="10"/>
            <color rgb="FF000000"/>
            <rFont val="Tahoma"/>
            <family val="2"/>
          </rPr>
          <t>5-year revenue CAGR FY24 → FY29E = ~41.8%.</t>
        </r>
      </text>
    </comment>
    <comment ref="E77" authorId="0" shapeId="0" xr:uid="{78D1B0E3-B8F0-2941-8930-C55C786DBA1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Anthropic compute deal: $1.25B/month from May 2026 through May 2029 (per SpaceX S-1 §8). Reduced ramp fees May-June 2026. Terminable on 90 days notice. Embedded as +$9B partial-year FY26 / +$15B annual FY27-28 / +$8B partial-year FY29 in AI revenue forecast.</t>
        </r>
      </text>
    </comment>
    <comment ref="C79" authorId="0" shapeId="0" xr:uid="{36EE27D6-7D12-5748-9D16-00ED93651CE6}">
      <text>
        <r>
          <rPr>
            <b/>
            <sz val="10"/>
            <color rgb="FF000000"/>
            <rFont val="Tahoma"/>
            <family val="2"/>
          </rPr>
          <t>Source: SpaceX S-1 §5. FY 2024 Space segment Adj EBITDA = $1,154M.</t>
        </r>
      </text>
    </comment>
    <comment ref="D79" authorId="0" shapeId="0" xr:uid="{CDE74947-68A2-7B46-B957-C19DB2B60953}">
      <text>
        <r>
          <rPr>
            <b/>
            <sz val="10"/>
            <color rgb="FF000000"/>
            <rFont val="Tahoma"/>
            <family val="2"/>
          </rPr>
          <t>Source: SpaceX S-1 §5. FY 2025 Space segment Adj EBITDA = $653M. Declined from FY24's $1,154M as Starship R&amp;D costs ramped.</t>
        </r>
      </text>
    </comment>
    <comment ref="E79" authorId="0" shapeId="0" xr:uid="{FA22C9FC-B4B6-A84B-B592-C5DE0E3578D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FY26E Space Adj EBITDA = Space rev × margin driver.</t>
        </r>
      </text>
    </comment>
    <comment ref="C80" authorId="0" shapeId="0" xr:uid="{0A8C9B87-29B4-3849-9E09-5AB07AEE89E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FY24 Space Adj EBITDA / Space revenue.</t>
        </r>
      </text>
    </comment>
    <comment ref="E80" authorId="0" shapeId="0" xr:uid="{414FAE10-4791-0B40-A1B5-3F7EC4EB4098}">
      <text>
        <r>
          <rPr>
            <b/>
            <sz val="10"/>
            <color rgb="FF000000"/>
            <rFont val="Tahoma"/>
            <family val="2"/>
          </rPr>
          <t>FY26E Space Adj EBITDA margin driver — 20%. Improving from FY25's 16% as Starship matures.</t>
        </r>
      </text>
    </comment>
    <comment ref="F80" authorId="0" shapeId="0" xr:uid="{87C72FE7-E05B-7942-9341-DE120CF9F821}">
      <text>
        <r>
          <rPr>
            <b/>
            <sz val="10"/>
            <color rgb="FF000000"/>
            <rFont val="Tahoma"/>
            <family val="2"/>
          </rPr>
          <t>FY27E Space Adj EBITDA margin — 25%. Starship commercial scale.</t>
        </r>
      </text>
    </comment>
    <comment ref="G80" authorId="0" shapeId="0" xr:uid="{6B4DE469-9DD4-6E44-B974-77BDAB8716EB}">
      <text>
        <r>
          <rPr>
            <b/>
            <sz val="10"/>
            <color rgb="FF000000"/>
            <rFont val="Tahoma"/>
            <family val="2"/>
          </rPr>
          <t>FY28E Space Adj EBITDA margin — 30%.</t>
        </r>
      </text>
    </comment>
    <comment ref="H80" authorId="0" shapeId="0" xr:uid="{B3C72B86-BC19-EA42-ACBB-5C0CC9D9105E}">
      <text>
        <r>
          <rPr>
            <b/>
            <sz val="10"/>
            <color rgb="FF000000"/>
            <rFont val="Tahoma"/>
            <family val="2"/>
          </rPr>
          <t>FY29E Space Adj EBITDA margin — 30%.</t>
        </r>
      </text>
    </comment>
    <comment ref="C82" authorId="0" shapeId="0" xr:uid="{DBE97C6C-CEBF-EA45-A1A1-0CDF345AB9BF}">
      <text>
        <r>
          <rPr>
            <b/>
            <sz val="10"/>
            <color rgb="FF000000"/>
            <rFont val="Tahoma"/>
            <family val="2"/>
          </rPr>
          <t>Source: SpaceX S-1 §5. FY 2024 Connectivity segment Adj EBITDA = $3,849M.</t>
        </r>
      </text>
    </comment>
    <comment ref="D82" authorId="0" shapeId="0" xr:uid="{A42DB63F-37B3-D34F-9738-B983EF12A9CB}">
      <text>
        <r>
          <rPr>
            <b/>
            <sz val="10"/>
            <color rgb="FF000000"/>
            <rFont val="Tahoma"/>
            <family val="2"/>
          </rPr>
          <t>Source: SpaceX S-1 §5. FY 2025 Connectivity segment Adj EBITDA = $7,168M (62.9% margin).</t>
        </r>
      </text>
    </comment>
    <comment ref="E83" authorId="0" shapeId="0" xr:uid="{FD26E378-A49F-D54E-854C-86C12230BE39}">
      <text>
        <r>
          <rPr>
            <b/>
            <sz val="10"/>
            <color rgb="FF000000"/>
            <rFont val="Tahoma"/>
            <family val="2"/>
          </rPr>
          <t>FY26E Connectivity Adj EBITDA margin — 65%. Subscriber scale leverage. FY25 was 62.9%.</t>
        </r>
      </text>
    </comment>
    <comment ref="F83" authorId="0" shapeId="0" xr:uid="{BD6D2BF0-CF3B-324F-B6D8-19463968C2A7}">
      <text>
        <r>
          <rPr>
            <b/>
            <sz val="10"/>
            <color rgb="FF000000"/>
            <rFont val="Tahoma"/>
            <family val="2"/>
          </rPr>
          <t>FY27E Connectivity Adj EBITDA margin — 65%.</t>
        </r>
      </text>
    </comment>
    <comment ref="G83" authorId="0" shapeId="0" xr:uid="{D505DBE4-035C-3848-8878-AEF8A117682C}">
      <text>
        <r>
          <rPr>
            <b/>
            <sz val="10"/>
            <color rgb="FF000000"/>
            <rFont val="Tahoma"/>
            <family val="2"/>
          </rPr>
          <t>FY28E Connectivity Adj EBITDA margin — 65%.</t>
        </r>
      </text>
    </comment>
    <comment ref="H83" authorId="0" shapeId="0" xr:uid="{96BC0912-0578-204E-BE09-C6B5EDFE9697}">
      <text>
        <r>
          <rPr>
            <b/>
            <sz val="10"/>
            <color rgb="FF000000"/>
            <rFont val="Tahoma"/>
            <family val="2"/>
          </rPr>
          <t>FY29E Connectivity Adj EBITDA margin — 65%.</t>
        </r>
      </text>
    </comment>
    <comment ref="C85" authorId="0" shapeId="0" xr:uid="{A191A68D-4959-3247-8181-E7DB2F4F6D7A}">
      <text>
        <r>
          <rPr>
            <b/>
            <sz val="10"/>
            <color rgb="FF000000"/>
            <rFont val="Tahoma"/>
            <family val="2"/>
          </rPr>
          <t>Source: SpaceX S-1 §5. FY 2024 AI segment Adj EBITDA = $347M.</t>
        </r>
      </text>
    </comment>
    <comment ref="D85" authorId="0" shapeId="0" xr:uid="{7BD8DE97-9213-9B40-92CF-C1E5BD1CDF98}">
      <text>
        <r>
          <rPr>
            <b/>
            <sz val="10"/>
            <color rgb="FF000000"/>
            <rFont val="Tahoma"/>
            <family val="2"/>
          </rPr>
          <t>Source: SpaceX S-1 §5. FY 2025 AI segment Adj EBITDA = $(1,237)M. Anthropic compute ramp costs hit before associated revenue flows through.</t>
        </r>
      </text>
    </comment>
    <comment ref="E86" authorId="0" shapeId="0" xr:uid="{3ACC12E5-3880-0A45-855C-9D528AECC7AD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FY26E AI Adj EBITDA margin — 20%. Turning positive from FY25's -38.7% as Anthropic revenue scales (revenue base now 4.2x larger). Compute hardware costs depreciate over multi-year life.</t>
        </r>
      </text>
    </comment>
    <comment ref="F86" authorId="0" shapeId="0" xr:uid="{05FAEE36-9D27-FD4A-8DCC-765213E84100}">
      <text>
        <r>
          <rPr>
            <b/>
            <sz val="10"/>
            <color rgb="FF000000"/>
            <rFont val="Tahoma"/>
            <family val="2"/>
          </rPr>
          <t>FY27E AI Adj EBITDA margin — 30%. Anthropic at full $15B annual run-rate flowing through at high incremental margin.</t>
        </r>
      </text>
    </comment>
    <comment ref="G86" authorId="0" shapeId="0" xr:uid="{3E97547D-7402-C34B-A821-899414F6CC6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FY28E AI Adj EBITDA margin — 35%. Anthropic at full run-rate; X/Grok contributing positively at scale.</t>
        </r>
      </text>
    </comment>
    <comment ref="H86" authorId="0" shapeId="0" xr:uid="{CB871682-1F3F-CD41-B43C-AE59310E5F04}">
      <text>
        <r>
          <rPr>
            <b/>
            <sz val="10"/>
            <color rgb="FF000000"/>
            <rFont val="Tahoma"/>
            <family val="2"/>
          </rPr>
          <t>FY29E AI Adj EBITDA margin — 25%. Anthropic contract expires May 2029 — lower full-year average margin until replacement compute customers fully ramp.</t>
        </r>
      </text>
    </comment>
    <comment ref="C88" authorId="0" shapeId="0" xr:uid="{370D6F89-50F6-B74A-846A-0E926E88ADF5}">
      <text>
        <r>
          <rPr>
            <b/>
            <sz val="10"/>
            <color rgb="FF000000"/>
            <rFont val="Tahoma"/>
            <family val="2"/>
          </rPr>
          <t>Sum of segment Adj EBITDA. Ties exactly to disclosed consolidated FY 2024 Adj EBITDA of $5,350M (S-1 §3).</t>
        </r>
      </text>
    </comment>
    <comment ref="D88" authorId="0" shapeId="0" xr:uid="{F13F9EF3-7942-3349-B66F-FBB77EE75EB5}">
      <text>
        <r>
          <rPr>
            <b/>
            <sz val="10"/>
            <color rgb="FF000000"/>
            <rFont val="Tahoma"/>
            <family val="2"/>
          </rPr>
          <t xml:space="preserve">Sum of segment Adj EBITDA = $6,584M. Ties exactly to disclosed consolidated FY 2025 Adj EBITDA (S-1 </t>
        </r>
        <r>
          <rPr>
            <b/>
            <sz val="10"/>
            <color rgb="FF000000"/>
            <rFont val="Tahoma"/>
            <family val="2"/>
          </rPr>
          <t>§</t>
        </r>
        <r>
          <rPr>
            <b/>
            <sz val="10"/>
            <color rgb="FF000000"/>
            <rFont val="Tahoma"/>
            <family val="2"/>
          </rPr>
          <t>3).</t>
        </r>
      </text>
    </comment>
    <comment ref="C90" authorId="0" shapeId="0" xr:uid="{579EE993-07B6-5847-84EB-99D6D1BF3F00}">
      <text>
        <r>
          <rPr>
            <b/>
            <sz val="10"/>
            <color rgb="FF000000"/>
            <rFont val="Tahoma"/>
            <family val="2"/>
          </rPr>
          <t>FY 2024 Adj EBITDA growth vs FY23 = 5,350 / 3,821 - 1 = 40.0%.</t>
        </r>
      </text>
    </comment>
    <comment ref="C94" authorId="0" shapeId="0" xr:uid="{53F86FB0-C61D-C040-ADA3-29FBFAC624E5}">
      <text>
        <r>
          <rPr>
            <b/>
            <sz val="10"/>
            <color rgb="FF000000"/>
            <rFont val="Tahoma"/>
            <family val="2"/>
          </rPr>
          <t>FY 2024 Stock-based compensation. PLACEHOLDER — not separately disclosed in S-1 summary. Estimated at 7% of revenue (typical large-cap tech).</t>
        </r>
      </text>
    </comment>
    <comment ref="D94" authorId="0" shapeId="0" xr:uid="{20F09607-4902-5D49-8226-6F60C71965CB}">
      <text>
        <r>
          <rPr>
            <b/>
            <sz val="10"/>
            <color rgb="FF000000"/>
            <rFont val="Tahoma"/>
            <family val="2"/>
          </rPr>
          <t>FY 2025 Stock-based compensation. PLACEHOLDER — estimated at 7% of revenue.</t>
        </r>
      </text>
    </comment>
    <comment ref="E94" authorId="0" shapeId="0" xr:uid="{A826A411-745E-EE49-B868-0CFDBFA07E26}">
      <text>
        <r>
          <rPr>
            <b/>
            <sz val="10"/>
            <color rgb="FF000000"/>
            <rFont val="Tahoma"/>
            <family val="2"/>
          </rPr>
          <t xml:space="preserve">FY26E SBC ($) = SBC% </t>
        </r>
        <r>
          <rPr>
            <b/>
            <sz val="10"/>
            <color rgb="FF000000"/>
            <rFont val="Tahoma"/>
            <family val="2"/>
          </rPr>
          <t>×</t>
        </r>
        <r>
          <rPr>
            <b/>
            <sz val="10"/>
            <color rgb="FF000000"/>
            <rFont val="Tahoma"/>
            <family val="2"/>
          </rPr>
          <t xml:space="preserve"> revenue.</t>
        </r>
      </text>
    </comment>
    <comment ref="F94" authorId="0" shapeId="0" xr:uid="{E223986C-52A9-C743-B597-3588BDF20C78}">
      <text>
        <r>
          <rPr>
            <b/>
            <sz val="10"/>
            <color rgb="FF000000"/>
            <rFont val="Tahoma"/>
            <family val="2"/>
          </rPr>
          <t>FY27E SBC ($).</t>
        </r>
      </text>
    </comment>
    <comment ref="G94" authorId="0" shapeId="0" xr:uid="{39A6077B-7127-AA42-A9D3-FB5F09581289}">
      <text>
        <r>
          <rPr>
            <b/>
            <sz val="10"/>
            <color rgb="FF000000"/>
            <rFont val="Tahoma"/>
            <family val="2"/>
          </rPr>
          <t>FY28E SBC ($).</t>
        </r>
      </text>
    </comment>
    <comment ref="H94" authorId="0" shapeId="0" xr:uid="{8C117F81-4015-CF49-8879-607C3CDA0F1E}">
      <text>
        <r>
          <rPr>
            <b/>
            <sz val="10"/>
            <color rgb="FF000000"/>
            <rFont val="Tahoma"/>
            <family val="2"/>
          </rPr>
          <t>FY29E SBC ($).</t>
        </r>
      </text>
    </comment>
    <comment ref="E95" authorId="0" shapeId="0" xr:uid="{CD1838FB-0B73-DE4C-846C-606A85903E7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FY26E SBC % of revenue.</t>
        </r>
      </text>
    </comment>
    <comment ref="F95" authorId="0" shapeId="0" xr:uid="{EBB5ABE9-0599-DA4E-A548-A6CC8E7FB43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FY27E SBC % of revenue.</t>
        </r>
      </text>
    </comment>
    <comment ref="G95" authorId="0" shapeId="0" xr:uid="{ADD6B9C1-ED07-C647-8761-F2507ED6BCC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FY28E SBC % of revenue.</t>
        </r>
      </text>
    </comment>
    <comment ref="H95" authorId="0" shapeId="0" xr:uid="{1325937D-859D-364E-A39F-B5F7E1ED65D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FY29E SBC % of revenue.</t>
        </r>
      </text>
    </comment>
    <comment ref="C97" authorId="0" shapeId="0" xr:uid="{C51E9543-DF34-2A46-8ECB-99726E411FB0}">
      <text>
        <r>
          <rPr>
            <b/>
            <sz val="10"/>
            <color rgb="FF000000"/>
            <rFont val="Tahoma"/>
            <family val="2"/>
          </rPr>
          <t>EBITDA = Adj EBITDA − SBC − Restructuring − Impairment. Equivalent to Op Income + D&amp;A. Ties to historical: FY24 = $466 + $3,627 = $4,093M ✓</t>
        </r>
      </text>
    </comment>
    <comment ref="D97" authorId="0" shapeId="0" xr:uid="{686AB167-0BCA-ED48-A1D4-2D3D8852766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 2025 EBITDA = $6,584 − $1,307 SBC − $487 restructuring − $38 impairment = $4,752M. Equivalent to Op loss $(2,589) + D&amp;A $7,341 = $4,752 ✓</t>
        </r>
      </text>
    </comment>
    <comment ref="E97" authorId="0" shapeId="0" xr:uid="{1D88344E-4C03-9844-B616-18E3B0597D3D}">
      <text>
        <r>
          <rPr>
            <b/>
            <sz val="10"/>
            <color rgb="FF000000"/>
            <rFont val="Tahoma"/>
            <family val="2"/>
          </rPr>
          <t>FY26E EBITDA = Adj EBITDA − SBC. Restructuring/Impairment assumed $0 forward.</t>
        </r>
      </text>
    </comment>
    <comment ref="F97" authorId="0" shapeId="0" xr:uid="{287CCC5C-17A4-404F-A45B-154C177F61E1}">
      <text>
        <r>
          <rPr>
            <b/>
            <sz val="10"/>
            <color rgb="FF000000"/>
            <rFont val="Tahoma"/>
            <family val="2"/>
          </rPr>
          <t>FY27E EBITDA = Adj EBITDA − SBC.</t>
        </r>
      </text>
    </comment>
    <comment ref="G97" authorId="0" shapeId="0" xr:uid="{0AF7DE9F-84DE-8341-A1B2-6CB73AC7D924}">
      <text>
        <r>
          <rPr>
            <b/>
            <sz val="10"/>
            <color rgb="FF000000"/>
            <rFont val="Tahoma"/>
            <family val="2"/>
          </rPr>
          <t>FY28E EBITDA = Adj EBITDA − SBC.</t>
        </r>
      </text>
    </comment>
    <comment ref="H97" authorId="0" shapeId="0" xr:uid="{87108051-EBD5-664B-80F2-08350AC96290}">
      <text>
        <r>
          <rPr>
            <b/>
            <sz val="10"/>
            <color rgb="FF000000"/>
            <rFont val="Tahoma"/>
            <family val="2"/>
          </rPr>
          <t>FY29E EBITDA = Adj EBITDA − SBC.</t>
        </r>
      </text>
    </comment>
    <comment ref="C100" authorId="0" shapeId="0" xr:uid="{5B0BD4E3-50A6-AD43-AB4F-081B47E9A84C}">
      <text>
        <r>
          <rPr>
            <b/>
            <sz val="10"/>
            <color rgb="FF000000"/>
            <rFont val="Tahoma"/>
            <family val="2"/>
          </rPr>
          <t>FY 2024 Depreciation &amp; amortization. PLACEHOLDER — back-solved from disclosed Adj EBITDA addbacks: total $4,884M − $276M (restructuring + impairment) − $981M SBC = $3,627M D&amp;A residual.</t>
        </r>
      </text>
    </comment>
    <comment ref="D100" authorId="0" shapeId="0" xr:uid="{0B308985-F132-E149-9595-6DA3CB16556A}">
      <text>
        <r>
          <rPr>
            <b/>
            <sz val="10"/>
            <color rgb="FF000000"/>
            <rFont val="Tahoma"/>
            <family val="2"/>
          </rPr>
          <t>FY 2025 Depreciation &amp; amortization. PLACEHOLDER — back-solved from disclosed Adj EBITDA addbacks: $8,648M D&amp;A+SBC total minus $1,307M SBC (7% rev) = $7,341M D&amp;A residual.</t>
        </r>
      </text>
    </comment>
    <comment ref="E100" authorId="0" shapeId="0" xr:uid="{502DDE9A-AD7A-714A-81C1-764828E139D5}">
      <text>
        <r>
          <rPr>
            <b/>
            <sz val="10"/>
            <color rgb="FF000000"/>
            <rFont val="Tahoma"/>
            <family val="2"/>
          </rPr>
          <t>FY26E D&amp;A ($) = D&amp;A% × revenue.</t>
        </r>
      </text>
    </comment>
    <comment ref="F100" authorId="0" shapeId="0" xr:uid="{B2B6B7BC-37A0-EF41-B6FF-AC24BD29D6F3}">
      <text>
        <r>
          <rPr>
            <b/>
            <sz val="10"/>
            <color rgb="FF000000"/>
            <rFont val="Tahoma"/>
            <family val="2"/>
          </rPr>
          <t>FY27E D&amp;A ($).</t>
        </r>
      </text>
    </comment>
    <comment ref="G100" authorId="0" shapeId="0" xr:uid="{58EF4E52-110F-204F-8E74-487D4846FE43}">
      <text>
        <r>
          <rPr>
            <b/>
            <sz val="10"/>
            <color rgb="FF000000"/>
            <rFont val="Tahoma"/>
            <family val="2"/>
          </rPr>
          <t>FY28E D&amp;A ($).</t>
        </r>
      </text>
    </comment>
    <comment ref="H100" authorId="0" shapeId="0" xr:uid="{48E81041-A471-F442-8166-CA0776225649}">
      <text>
        <r>
          <rPr>
            <b/>
            <sz val="10"/>
            <color rgb="FF000000"/>
            <rFont val="Tahoma"/>
            <family val="2"/>
          </rPr>
          <t>FY29E D&amp;A ($).</t>
        </r>
      </text>
    </comment>
    <comment ref="E101" authorId="0" shapeId="0" xr:uid="{3DDF5AA3-153D-AF4B-9C1D-54061A3F77A8}">
      <text>
        <r>
          <rPr>
            <b/>
            <sz val="10"/>
            <color rgb="FF000000"/>
            <rFont val="Tahoma"/>
            <family val="2"/>
          </rPr>
          <t>FY26E D&amp;A % of revenue — 34%. Slight decline from FY25's 39.3% but PP&amp;E base still growing fast.</t>
        </r>
      </text>
    </comment>
    <comment ref="F101" authorId="0" shapeId="0" xr:uid="{436ACE1E-160D-804D-B7BE-4FB50B5DB0DC}">
      <text>
        <r>
          <rPr>
            <b/>
            <sz val="10"/>
            <color rgb="FF000000"/>
            <rFont val="Tahoma"/>
            <family val="2"/>
          </rPr>
          <t>FY27E D&amp;A % of revenue — 30%.</t>
        </r>
      </text>
    </comment>
    <comment ref="G101" authorId="0" shapeId="0" xr:uid="{5FD5CB2C-C8DD-8A49-82A5-95E4955FC643}">
      <text>
        <r>
          <rPr>
            <b/>
            <sz val="10"/>
            <color rgb="FF000000"/>
            <rFont val="Tahoma"/>
            <family val="2"/>
          </rPr>
          <t>FY28E D&amp;A % of revenue — 26%. PP&amp;E base now ~$120B; depreciating at ~17% reflects 5-7 year asset lives.</t>
        </r>
      </text>
    </comment>
    <comment ref="H101" authorId="0" shapeId="0" xr:uid="{05C5F2BF-2906-FF4D-8211-BD819488FC86}">
      <text>
        <r>
          <rPr>
            <b/>
            <sz val="10"/>
            <color rgb="FF000000"/>
            <rFont val="Tahoma"/>
            <family val="2"/>
          </rPr>
          <t>FY29E D&amp;A % of revenue — 24%. Terminal D&amp;A reflects ~$25B annual depreciation on $150B+ PP&amp;E base.</t>
        </r>
      </text>
    </comment>
    <comment ref="C102" authorId="0" shapeId="0" xr:uid="{36983CA9-B8F7-5A4B-9705-2D2E7D4BBEF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Total opex incl. R&amp;D + SG&amp;A + Restructuring + Impairment.</t>
        </r>
      </text>
    </comment>
    <comment ref="D102" authorId="0" shapeId="0" xr:uid="{63902B5A-592F-3149-9FA1-B7E16A77D17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opex incl. R&amp;D + SG&amp;A + Restructuring + Impairment.</t>
        </r>
      </text>
    </comment>
    <comment ref="C103" authorId="0" shapeId="0" xr:uid="{DCDC3F4A-1F7C-2543-A6AC-65ABE7B9A7A9}">
      <text>
        <r>
          <rPr>
            <b/>
            <sz val="10"/>
            <color rgb="FF000000"/>
            <rFont val="Tahoma"/>
            <family val="2"/>
          </rPr>
          <t>Operating Income = EBITDA − D&amp;A. Ties to Annual_Financials!E15 ($466M disclosed FY24 op income).</t>
        </r>
      </text>
    </comment>
    <comment ref="E103" authorId="0" shapeId="0" xr:uid="{56C9A525-024E-4D49-9B2C-DA8E33588F00}">
      <text>
        <r>
          <rPr>
            <b/>
            <sz val="10"/>
            <color rgb="FF000000"/>
            <rFont val="Tahoma"/>
            <family val="2"/>
          </rPr>
          <t>FY26E Operating Income = EBITDA − D&amp;A.</t>
        </r>
      </text>
    </comment>
    <comment ref="F103" authorId="0" shapeId="0" xr:uid="{BD0953E3-E8C8-C24F-A3D8-2001CA41FAF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FY27E Operating Income.</t>
        </r>
      </text>
    </comment>
    <comment ref="G103" authorId="0" shapeId="0" xr:uid="{41515498-4C12-174B-9027-A5A4A54B20C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FY28E Operating Income.</t>
        </r>
      </text>
    </comment>
    <comment ref="H103" authorId="0" shapeId="0" xr:uid="{476574DD-8536-634B-A66C-92C0CF00781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FY29E Operating Income.</t>
        </r>
      </text>
    </comment>
    <comment ref="C106" authorId="0" shapeId="0" xr:uid="{FECF1EC5-E977-9E44-9F36-8E1A60080498}">
      <text>
        <r>
          <rPr>
            <b/>
            <sz val="10"/>
            <color rgb="FF000000"/>
            <rFont val="Tahoma"/>
            <family val="2"/>
          </rPr>
          <t>FY 2024 net non-op (plug) = Net income $791M − Op income $466M = $325M. Includes interest exp $(1,580)M + interest inc $371M + other $985M − tax benefit $(549)M.</t>
        </r>
      </text>
    </comment>
    <comment ref="D106" authorId="0" shapeId="0" xr:uid="{0BF2225F-5DED-734E-83C7-18FF78C88780}">
      <text>
        <r>
          <rPr>
            <b/>
            <sz val="10"/>
            <color rgb="FF000000"/>
            <rFont val="Tahoma"/>
            <family val="2"/>
          </rPr>
          <t>FY 2025 net non-op = Net loss $(4,937)M − Op loss $(2,589)M = $(2,348)M. Breakdown: interest exp $(1,945)M + interest inc $492M + other $(177)M + tax provision $(718)M.</t>
        </r>
      </text>
    </comment>
    <comment ref="E106" authorId="0" shapeId="0" xr:uid="{DEEDEC93-5AE2-EE4C-A5B4-062EFFE1FFC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FY26E net non-op = Interest expense (Bridge Loan still outstanding). Other and taxes minimal in loss position.</t>
        </r>
      </text>
    </comment>
    <comment ref="F106" authorId="0" shapeId="0" xr:uid="{37C6E151-FA42-F64F-A205-A5423EB4187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FY27E net non-op = Bridge Loan partially repaid; tax provision ramping.</t>
        </r>
      </text>
    </comment>
    <comment ref="G106" authorId="0" shapeId="0" xr:uid="{50696D36-4BA9-7543-853F-2B8B6E442291}">
      <text>
        <r>
          <rPr>
            <b/>
            <sz val="10"/>
            <color rgb="FF000000"/>
            <rFont val="Tahoma"/>
            <family val="2"/>
          </rPr>
          <t>FY28E net non-op = Interest exp ~$(1.4)B + Tax provision ~$(4.1)B (20% effective rate as NOLs partially exhausted).</t>
        </r>
      </text>
    </comment>
    <comment ref="H106" authorId="0" shapeId="0" xr:uid="{1FFA3844-34F9-6642-95D5-49171A5EA427}">
      <text>
        <r>
          <rPr>
            <b/>
            <sz val="10"/>
            <color rgb="FF000000"/>
            <rFont val="Tahoma"/>
            <family val="2"/>
          </rPr>
          <t>FY29E net non-op = Interest exp ~$(1.0)B + Tax provision ~$(4.5)B (21% effective rate at statutory federal as NOLs exhausted).</t>
        </r>
      </text>
    </comment>
    <comment ref="C108" authorId="0" shapeId="0" xr:uid="{3742571B-22BE-AC44-A772-27DED2FA8DF5}">
      <text>
        <r>
          <rPr>
            <b/>
            <sz val="10"/>
            <color rgb="FF000000"/>
            <rFont val="Tahoma"/>
            <family val="2"/>
          </rPr>
          <t>Net Income = Op Income + Net non-op. Ties to Annual_Financials!E21 disclosed FY24 net income of $791M.</t>
        </r>
      </text>
    </comment>
    <comment ref="E115" authorId="0" shapeId="0" xr:uid="{31435FF3-C339-DB4D-999A-54D70F830F8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FY26E OCF = EBITDA + SBC + interest + WC change.</t>
        </r>
      </text>
    </comment>
    <comment ref="G115" authorId="0" shapeId="0" xr:uid="{07C4278F-792B-E64A-98E0-8DD1A657572A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FY28E OCF = EBITDA + SBC + interest + WC change - 50% of book tax (NOLs partially shielding).</t>
        </r>
      </text>
    </comment>
    <comment ref="H115" authorId="0" shapeId="0" xr:uid="{3B9228E2-6AE7-564C-AE92-FB4CA04EF55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FY29E OCF = EBITDA + SBC + interest + WC change - 80% of book tax.</t>
        </r>
      </text>
    </comment>
    <comment ref="E116" authorId="0" shapeId="0" xr:uid="{03B10BF4-D976-5543-B2FA-0B7CB1672F6C}">
      <text>
        <r>
          <rPr>
            <b/>
            <sz val="10"/>
            <color rgb="FF000000"/>
            <rFont val="Tahoma"/>
            <family val="2"/>
          </rPr>
          <t>FY26E OCF = EBITDA + SBC (non-cash) + Net non-op (interest, tax, other) + WC change. SBC is non-cash so added back.</t>
        </r>
      </text>
    </comment>
    <comment ref="F116" authorId="0" shapeId="0" xr:uid="{E930C9FD-BFF2-5B4D-8DE4-CB6BAC5365C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FY27E OCF.</t>
        </r>
      </text>
    </comment>
    <comment ref="G116" authorId="0" shapeId="0" xr:uid="{1CE3CE2F-55C3-7A4C-BC78-53707632CAB2}">
      <text>
        <r>
          <rPr>
            <b/>
            <sz val="10"/>
            <color rgb="FF000000"/>
            <rFont val="Tahoma"/>
            <family val="2"/>
          </rPr>
          <t>FY28E OCF — net non-op (G106) already includes tax provision.</t>
        </r>
      </text>
    </comment>
    <comment ref="H116" authorId="0" shapeId="0" xr:uid="{058E203E-85CC-6C48-91F3-36CD54F2F257}">
      <text>
        <r>
          <rPr>
            <b/>
            <sz val="10"/>
            <color rgb="FF000000"/>
            <rFont val="Tahoma"/>
            <family val="2"/>
          </rPr>
          <t>FY29E OCF.</t>
        </r>
      </text>
    </comment>
    <comment ref="E118" authorId="0" shapeId="0" xr:uid="{D7CB02F6-ED71-DD45-BB5B-B9F94681D89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FY26E Capex = Capex/Rev driver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Revenue.</t>
        </r>
      </text>
    </comment>
    <comment ref="E119" authorId="0" shapeId="0" xr:uid="{3509E457-EAB7-0841-82D9-76C148286E2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FY26E Capex / Revenue — 110% (AI data center + Starship buildout peak).</t>
        </r>
      </text>
    </comment>
    <comment ref="F119" authorId="0" shapeId="0" xr:uid="{70A3A854-93DF-9849-8364-723705B179C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FY27E Capex / Revenue — normalizing as AI infrastructure phase 1 completes.</t>
        </r>
      </text>
    </comment>
    <comment ref="G119" authorId="0" shapeId="0" xr:uid="{EBC728A5-FD5F-0E43-847D-A5614504F924}">
      <text>
        <r>
          <rPr>
            <b/>
            <sz val="10"/>
            <color rgb="FF000000"/>
            <rFont val="Tahoma"/>
            <family val="2"/>
          </rPr>
          <t>FY28E Capex / Revenue — 55%. Declining from peak as AI compute base matures.</t>
        </r>
      </text>
    </comment>
    <comment ref="H119" authorId="0" shapeId="0" xr:uid="{46F6A793-2AFF-6442-ABE5-EDEF5775EC19}">
      <text>
        <r>
          <rPr>
            <b/>
            <sz val="10"/>
            <color rgb="FF000000"/>
            <rFont val="Tahoma"/>
            <family val="2"/>
          </rPr>
          <t>FY29E Capex / Revenue — 40%. Terminal capex normalizing toward maintenance + growth (mature satellite + compute operator runs 25-35%).</t>
        </r>
      </text>
    </comment>
    <comment ref="E127" authorId="0" shapeId="0" xr:uid="{61C60A4A-E9AB-884F-B6FC-225E15A0B06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FY26E NWC investment proxy: ~5% of revenue uses (growth absorbs WC).</t>
        </r>
      </text>
    </comment>
    <comment ref="E130" authorId="0" shapeId="0" xr:uid="{E4D481BB-3A45-D841-8AB3-5C1B7996ADC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FY26E Investing CF ≈ capex.</t>
        </r>
      </text>
    </comment>
    <comment ref="E131" authorId="0" shapeId="0" xr:uid="{A3522082-DAC7-BA48-A999-D0E99AD8190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Forecast financing CF — model input.</t>
        </r>
      </text>
    </comment>
    <comment ref="D148" authorId="0" shapeId="0" xr:uid="{332440AA-DF25-B740-A564-52ABD45DCC9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Gross margin for label match.</t>
        </r>
      </text>
    </comment>
    <comment ref="C152" authorId="0" shapeId="0" xr:uid="{A8F645EC-B739-7143-B7E0-121C5DFB964B}">
      <text>
        <r>
          <rPr>
            <b/>
            <sz val="10"/>
            <color rgb="FF000000"/>
            <rFont val="Tahoma"/>
            <family val="2"/>
          </rPr>
          <t>FY 2024 Net margin.</t>
        </r>
      </text>
    </comment>
    <comment ref="D152" authorId="0" shapeId="0" xr:uid="{19C82CD0-C48F-7041-B70F-E88DAC9326B5}">
      <text>
        <r>
          <rPr>
            <b/>
            <sz val="10"/>
            <color rgb="FF000000"/>
            <rFont val="Tahoma"/>
            <family val="2"/>
          </rPr>
          <t>FY 2025 Net margin = Net loss ÷ Revenue.</t>
        </r>
      </text>
    </comment>
    <comment ref="E152" authorId="0" shapeId="0" xr:uid="{7066BF8A-C2FF-2944-8246-B040479BC1F8}">
      <text>
        <r>
          <rPr>
            <b/>
            <sz val="10"/>
            <color rgb="FF000000"/>
            <rFont val="Tahoma"/>
            <family val="2"/>
          </rPr>
          <t>FY26E Net margin.</t>
        </r>
      </text>
    </comment>
    <comment ref="C156" authorId="0" shapeId="0" xr:uid="{045F6365-F38A-3D41-B6F4-0C46BF50ADA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 2024 Connectivity Adj EBITDA margin = 50.7%.</t>
        </r>
      </text>
    </comment>
    <comment ref="D156" authorId="0" shapeId="0" xr:uid="{1C12E6EB-C979-6548-A71B-D2FFEFAA8FE8}">
      <text>
        <r>
          <rPr>
            <b/>
            <sz val="10"/>
            <color rgb="FF000000"/>
            <rFont val="Tahoma"/>
            <family val="2"/>
          </rPr>
          <t>FY 2025 Connectivity Adj EBITDA margin = 62.9%.</t>
        </r>
      </text>
    </comment>
    <comment ref="C157" authorId="0" shapeId="0" xr:uid="{808914B4-565D-A548-B5AD-C006B4169F2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 2024 AI Adj EBITDA margin = 13.2%.</t>
        </r>
      </text>
    </comment>
    <comment ref="D157" authorId="0" shapeId="0" xr:uid="{996F0C18-B275-0448-99B3-912DE0D09C10}">
      <text>
        <r>
          <rPr>
            <b/>
            <sz val="10"/>
            <color rgb="FF000000"/>
            <rFont val="Tahoma"/>
            <family val="2"/>
          </rPr>
          <t>FY 2025 AI Adj EBITDA margin = (38.6)% — Anthropic ramp costs before revenue.</t>
        </r>
      </text>
    </comment>
    <comment ref="C166" authorId="0" shapeId="0" xr:uid="{B9B1A4B4-471F-9046-8A4F-0E3078FB6D6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RPO (backlog) not in FY24 IPO_Analysis row — see KPIs tab.</t>
        </r>
      </text>
    </comment>
    <comment ref="C172" authorId="0" shapeId="0" xr:uid="{68447EC2-8470-7841-9535-B8D69042E82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Customer concentration not disclosed in summary.</t>
        </r>
      </text>
    </comment>
    <comment ref="C173" authorId="0" shapeId="0" xr:uid="{9DD30671-AFF9-974F-B06A-AADB270D4A2B}">
      <text>
        <r>
          <rPr>
            <b/>
            <sz val="10"/>
            <color rgb="FF000000"/>
            <rFont val="Tahoma"/>
            <family val="2"/>
          </rPr>
          <t>Customer concentration not disclosed in summary.</t>
        </r>
      </text>
    </comment>
    <comment ref="C179" authorId="0" shapeId="0" xr:uid="{4E7E1841-8FA2-7B4C-A65A-17A45B7EF74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IPO price scenario — low end of range from C12.</t>
        </r>
      </text>
    </comment>
    <comment ref="D179" authorId="0" shapeId="0" xr:uid="{A7B32548-222B-2E4C-942C-93EF9945C5D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IPO price scenario — low-mid.</t>
        </r>
      </text>
    </comment>
    <comment ref="E179" authorId="0" shapeId="0" xr:uid="{3D9D27C9-180A-7141-8DAF-5890C340675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IPO price scenario — midpoint from C13.</t>
        </r>
      </text>
    </comment>
    <comment ref="F179" authorId="0" shapeId="0" xr:uid="{87C9037B-7193-E641-96A1-AA9276693C4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IPO price scenario — high end of range from C14.</t>
        </r>
      </text>
    </comment>
    <comment ref="G179" authorId="0" shapeId="0" xr:uid="{6871DD8A-66A1-E84B-A855-E34B836C601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Section 5 scenarios use only C:F columns for IPO price sensitivity. G/H not scenarios.</t>
        </r>
      </text>
    </comment>
    <comment ref="B189" authorId="0" shapeId="0" xr:uid="{25B6A048-2DB1-174F-A808-39DE9696FF0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Marketable securities (Dec 31 2025 = $0).</t>
        </r>
      </text>
    </comment>
    <comment ref="B190" authorId="0" shapeId="0" xr:uid="{7133CD48-E57A-F546-8796-37513CDD9E0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Digital assets.</t>
        </r>
      </text>
    </comment>
    <comment ref="B191" authorId="0" shapeId="0" xr:uid="{1E6539E0-AAC3-C642-B818-4471C8C9D76E}">
      <text>
        <r>
          <rPr>
            <b/>
            <sz val="10"/>
            <color rgb="FF000000"/>
            <rFont val="Tahoma"/>
            <family val="2"/>
          </rPr>
          <t>Net IPO proceeds (negative because adds to cash, subtracted in EV calc).</t>
        </r>
      </text>
    </comment>
    <comment ref="B192" authorId="0" shapeId="0" xr:uid="{A20D6117-C69D-A44B-A529-DEBDCFD0C3D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Total debt added back.</t>
        </r>
      </text>
    </comment>
    <comment ref="B193" authorId="0" shapeId="0" xr:uid="{2055BAF1-89BA-684A-9EE0-D3B3C3AE4D57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Sum of all EV adjustments. Negative = net cash position (subtracts from market cap).</t>
        </r>
      </text>
    </comment>
    <comment ref="A205" authorId="0" shapeId="0" xr:uid="{7E944F8D-0086-D643-B263-8DE3AB98631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Adj EBITDA replaces Gross Profit row since GP isn't computed in segment Adj EBITDA build.</t>
        </r>
      </text>
    </comment>
    <comment ref="D222" authorId="0" shapeId="0" xr:uid="{C42A8142-CBBF-E94D-8B7E-94D1B3A5A18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 2025 EBITDA = Op Income + D&amp;A + Restructuring + Impairment (consistent with Section 1 C48 definition).</t>
        </r>
      </text>
    </comment>
    <comment ref="A260" authorId="0" shapeId="0" xr:uid="{2D3B1B49-5C17-D040-8422-C16825C088EB}">
      <text>
        <r>
          <rPr>
            <b/>
            <sz val="10"/>
            <color rgb="FF000000"/>
            <rFont val="Tahoma"/>
            <family val="2"/>
          </rPr>
          <t>Section 7 valuation year = FY 2029E (4 years forward from IPO).</t>
        </r>
      </text>
    </comment>
    <comment ref="D263" authorId="0" shapeId="0" xr:uid="{15FDA06E-D505-984A-85AF-080EBB989700}">
      <text>
        <r>
          <rPr>
            <b/>
            <sz val="10"/>
            <color rgb="FF000000"/>
            <rFont val="Tahoma"/>
            <family val="2"/>
          </rPr>
          <t>Bear Case FY 2029E Adj EBITDA ($M) — conservative scenario below model base case of $25,122M.</t>
        </r>
      </text>
    </comment>
    <comment ref="E263" authorId="0" shapeId="0" xr:uid="{EB9CC0F7-F97E-0844-92E4-DD6D5D194BFE}">
      <text>
        <r>
          <rPr>
            <b/>
            <sz val="10"/>
            <color rgb="FF000000"/>
            <rFont val="Tahoma"/>
            <family val="2"/>
          </rPr>
          <t>Base Case FY 2029E Adj EBITDA ($M) = $35,460M. Linked to H88 / 1000 (Total Adj EBITDA in $000 → $M).</t>
        </r>
      </text>
    </comment>
    <comment ref="F263" authorId="0" shapeId="0" xr:uid="{A3A760DD-378C-5D4D-B595-27041B0FC822}">
      <text>
        <r>
          <rPr>
            <b/>
            <sz val="10"/>
            <color rgb="FF000000"/>
            <rFont val="Tahoma"/>
            <family val="2"/>
          </rPr>
          <t>Bull Case FY 2029E Adj EBITDA ($M) — above model base case.</t>
        </r>
      </text>
    </comment>
    <comment ref="D264" authorId="0" shapeId="0" xr:uid="{D4BAF05D-16EB-034B-B063-DD4A6FCB13B9}">
      <text>
        <r>
          <rPr>
            <b/>
            <sz val="10"/>
            <color rgb="FF000000"/>
            <rFont val="Tahoma"/>
            <family val="2"/>
          </rPr>
          <t>Bear Case EV/Adj. EBITDA multiple.</t>
        </r>
      </text>
    </comment>
    <comment ref="E264" authorId="0" shapeId="0" xr:uid="{0AF4FB57-1FC0-C24C-A4B4-31B719558C0E}">
      <text>
        <r>
          <rPr>
            <b/>
            <sz val="10"/>
            <color rgb="FF000000"/>
            <rFont val="Tahoma"/>
            <family val="2"/>
          </rPr>
          <t>Base Case EV/Adj. EBITDA multiple.</t>
        </r>
      </text>
    </comment>
    <comment ref="F264" authorId="0" shapeId="0" xr:uid="{0A1854D0-DC4B-6540-A9FE-C28B14A3B98E}">
      <text>
        <r>
          <rPr>
            <b/>
            <sz val="10"/>
            <color rgb="FF000000"/>
            <rFont val="Tahoma"/>
            <family val="2"/>
          </rPr>
          <t>Bull Case EV/Adj. EBITDA multiple.</t>
        </r>
      </text>
    </comment>
    <comment ref="C267" authorId="0" shapeId="0" xr:uid="{11935EE8-7FAD-6D48-B529-B7707F609B36}">
      <text>
        <r>
          <rPr>
            <b/>
            <sz val="10"/>
            <color rgb="FF000000"/>
            <rFont val="Tahoma"/>
            <family val="2"/>
          </rPr>
          <t>IPO price midpoint linked to assumption in C13.</t>
        </r>
      </text>
    </comment>
    <comment ref="C268" authorId="0" shapeId="0" xr:uid="{16928398-1F30-084F-9383-2F0D74EEE1A6}">
      <text>
        <r>
          <rPr>
            <b/>
            <sz val="10"/>
            <color rgb="FF000000"/>
            <rFont val="Tahoma"/>
            <family val="2"/>
          </rPr>
          <t>Fully diluted shares linked to C32 (post-IPO basic + greenshoe + options + RSUs + perf awards + EchoStar).</t>
        </r>
      </text>
    </comment>
    <comment ref="C269" authorId="0" shapeId="0" xr:uid="{29FA44A6-EC96-CC44-97CD-EBD2BAFE1062}">
      <text>
        <r>
          <rPr>
            <b/>
            <sz val="10"/>
            <color rgb="FF000000"/>
            <rFont val="Tahoma"/>
            <family val="2"/>
          </rPr>
          <t>Net cash &amp; investments ($M) = Cash + Marketable sec + Digital assets + Net IPO proceeds − Total debt (current + LT). All values from FY 2025 balance sheet.</t>
        </r>
      </text>
    </comment>
    <comment ref="D275" authorId="0" shapeId="0" xr:uid="{C028F15A-A2EA-5348-81B4-187C84F03B04}">
      <text>
        <r>
          <rPr>
            <b/>
            <sz val="10"/>
            <color rgb="FF000000"/>
            <rFont val="Tahoma"/>
            <family val="2"/>
          </rPr>
          <t>Bear EV ($B) = Adj EBITDA ($M) × Multiple ÷ 1000.</t>
        </r>
      </text>
    </comment>
    <comment ref="D276" authorId="0" shapeId="0" xr:uid="{8E035BAA-C3D7-8A49-A6BE-2DD2293F4D9E}">
      <text>
        <r>
          <rPr>
            <b/>
            <sz val="10"/>
            <color rgb="FF000000"/>
            <rFont val="Tahoma"/>
            <family val="2"/>
          </rPr>
          <t>Net cash in $B = C269 ($M) ÷ 1,000.</t>
        </r>
      </text>
    </comment>
    <comment ref="D279" authorId="0" shapeId="0" xr:uid="{9C775FAE-8D88-4545-B752-C8CF87160F7F}">
      <text>
        <r>
          <rPr>
            <b/>
            <sz val="10"/>
            <color rgb="FF000000"/>
            <rFont val="Tahoma"/>
            <family val="2"/>
          </rPr>
          <t>Implied price per FD share = Implied Equity Value ($B × 1B) ÷ Fully diluted shares.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D4" authorId="0" shapeId="0" xr:uid="{B968E9F6-3031-3C4A-99FF-A977FD2D39EA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14 Pro forma capitalization. Pro forma Class A outstanding = 6,824,581,339.</t>
        </r>
      </text>
    </comment>
    <comment ref="D5" authorId="0" shapeId="0" xr:uid="{D4EDF34A-62AA-344D-B8BB-54813828E87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14. Pro forma Class B outstanding = 5,695,729,430.</t>
        </r>
      </text>
    </comment>
    <comment ref="D6" authorId="0" shapeId="0" xr:uid="{3A47BC6F-5C0D-7E4A-83C2-000DE345346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 silent on incremental post-period issuances pre-IPO. Set to 0.</t>
        </r>
      </text>
    </comment>
    <comment ref="D7" authorId="0" shapeId="0" xr:uid="{AACF7A87-3F68-5B4E-9D83-69CFD415360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Set in IPO_Analysis assumptions — see offering inputs.</t>
        </r>
      </text>
    </comment>
    <comment ref="D8" authorId="0" shapeId="0" xr:uid="{A7F229A7-0CE0-2448-A2CF-D115E15D585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Computed in IPO_Analysis as % of primary shares (COMPANY_INFO!C23 = 15%).</t>
        </r>
      </text>
    </comment>
    <comment ref="D9" authorId="0" shapeId="0" xr:uid="{ADAEE03A-2B85-784D-9FCA-26A2925AF277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§15 reserve table. Total outstanding options = 934M (8A + 450B + 476C). Class C ultimately reclassifies to Class A.</t>
        </r>
      </text>
    </comment>
    <comment ref="D10" authorId="0" shapeId="0" xr:uid="{9865D034-27F1-2045-B07C-02174B17CD1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§15 reserve table. Total outstanding RSUs = 129M (49A + 1B + 79C).</t>
        </r>
      </text>
    </comment>
    <comment ref="D11" authorId="0" shapeId="0" xr:uid="{5FD8D2EF-7D6B-0C46-B704-7AA659D1CFC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15. 1,319.1M performance &amp; market condition awards excluded from Q1'26 diluted EPS because conditions were not met. Includes CEO + AI CEO + officer awards.</t>
        </r>
      </text>
    </comment>
    <comment ref="D12" authorId="0" shapeId="0" xr:uid="{A4F4BD7F-1024-6A41-916F-20905BF03AF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Avoid double-count: 1,319.1M performance awards in row 11 already include the SpaceX CEO Award (1,000M) and AI CEO Award (302.1M).</t>
        </r>
      </text>
    </comment>
    <comment ref="D13" authorId="0" shapeId="0" xr:uid="{CC9D982A-7173-9F4B-8991-12CCBD0E726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§13 + §15. 261.8M Class A shares at $42.40/share, expected close ~Nov 30, 2027.</t>
        </r>
      </text>
    </comment>
    <comment ref="D14" authorId="0" shapeId="0" xr:uid="{23AAE985-E8C3-2B4D-84AF-84ADC6F0CE5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§16. $60B / IPO price. At $100/sh = 600M; at $200/sh = 300M. Set to 0 (option, not exercised).</t>
        </r>
      </text>
    </comment>
    <comment ref="D17" authorId="0" shapeId="0" xr:uid="{DFF5F458-99EF-4E42-A351-0EE97891E75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15 reserve table. 500M future grants (150A + 350C).</t>
        </r>
      </text>
    </comment>
    <comment ref="D18" authorId="0" shapeId="0" xr:uid="{C99BFE79-0A59-8846-A778-246017E1119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15. 75M max under amended ESPP.</t>
        </r>
      </text>
    </comment>
    <comment ref="D19" authorId="0" shapeId="0" xr:uid="{235CBAAF-017A-7C4F-9218-F4BC88F0618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Future recycling — not a fixed count.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D4" authorId="0" shapeId="0" xr:uid="{292DAC7B-47A5-A847-BB89-06989A81337D}">
      <text>
        <r>
          <rPr>
            <b/>
            <sz val="10"/>
            <color rgb="FF000000"/>
            <rFont val="Tahoma"/>
            <family val="2"/>
          </rPr>
          <t>Source: SpaceX S-1, §4. FY25 Products = 1,510.</t>
        </r>
      </text>
    </comment>
    <comment ref="E4" authorId="0" shapeId="0" xr:uid="{3D95EA47-F126-AD48-9CD5-73411F277EA3}">
      <text>
        <r>
          <rPr>
            <b/>
            <sz val="10"/>
            <color rgb="FF000000"/>
            <rFont val="Tahoma"/>
            <family val="2"/>
          </rPr>
          <t>Source: SpaceX S-1, §4. FY24 Products = 1,470.</t>
        </r>
      </text>
    </comment>
    <comment ref="F4" authorId="0" shapeId="0" xr:uid="{A119AFCE-C6A3-6C4C-B403-E877F4FE38B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§4. FY23 Products = 1,093.</t>
        </r>
      </text>
    </comment>
    <comment ref="D6" authorId="0" shapeId="0" xr:uid="{BA0D3D0C-8647-8140-B22C-03E454DA39C0}">
      <text>
        <r>
          <rPr>
            <b/>
            <sz val="10"/>
            <color rgb="FF000000"/>
            <rFont val="Tahoma"/>
            <family val="2"/>
          </rPr>
          <t>Source: SpaceX S-1, §3. FY25 revenue = 18,674.</t>
        </r>
      </text>
    </comment>
    <comment ref="E6" authorId="0" shapeId="0" xr:uid="{67E32F6C-70AF-034A-BA88-2BF5E3B8DD38}">
      <text>
        <r>
          <rPr>
            <b/>
            <sz val="10"/>
            <color rgb="FF000000"/>
            <rFont val="Tahoma"/>
            <family val="2"/>
          </rPr>
          <t>Source: SpaceX S-1, §3. FY24 revenue = 14,015.</t>
        </r>
      </text>
    </comment>
    <comment ref="F6" authorId="0" shapeId="0" xr:uid="{A65A8CEE-F966-F943-84BD-4CB10B5B959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revenue = 10,387.</t>
        </r>
      </text>
    </comment>
    <comment ref="D9" authorId="0" shapeId="0" xr:uid="{11660EB7-D76B-024F-8CEA-89411DE01284}">
      <text>
        <r>
          <rPr>
            <b/>
            <sz val="10"/>
            <color rgb="FF000000"/>
            <rFont val="Tahoma"/>
            <family val="2"/>
          </rPr>
          <t>Source: SpaceX S-1, §3. FY25 COGS = 9,451.</t>
        </r>
      </text>
    </comment>
    <comment ref="E9" authorId="0" shapeId="0" xr:uid="{6A815316-FF5D-9A4A-B05B-263F35BAFAE0}">
      <text>
        <r>
          <rPr>
            <b/>
            <sz val="10"/>
            <color rgb="FF000000"/>
            <rFont val="Tahoma"/>
            <family val="2"/>
          </rPr>
          <t>Source: SpaceX S-1, §3. FY24 COGS = 7,996.</t>
        </r>
      </text>
    </comment>
    <comment ref="F9" authorId="0" shapeId="0" xr:uid="{8114FFDD-2B8E-FD47-A0FE-1EEFC89E8FD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COGS = 6,110.</t>
        </r>
      </text>
    </comment>
    <comment ref="D11" authorId="0" shapeId="0" xr:uid="{92629D31-A7EA-9F4C-9233-13BEC1BB9C9D}">
      <text>
        <r>
          <rPr>
            <b/>
            <sz val="10"/>
            <color rgb="FF000000"/>
            <rFont val="Tahoma"/>
            <family val="2"/>
          </rPr>
          <t>Source: SpaceX S-1, §3. FY25 R&amp;D = 8,643.</t>
        </r>
      </text>
    </comment>
    <comment ref="E11" authorId="0" shapeId="0" xr:uid="{4841A6E1-0806-9B45-A6BF-5472B9DFBC6E}">
      <text>
        <r>
          <rPr>
            <b/>
            <sz val="10"/>
            <color rgb="FF000000"/>
            <rFont val="Tahoma"/>
            <family val="2"/>
          </rPr>
          <t>Source: SpaceX S-1, §3. FY24 R&amp;D = 3,464.</t>
        </r>
      </text>
    </comment>
    <comment ref="F11" authorId="0" shapeId="0" xr:uid="{C5A3DD9D-4911-564E-9BEE-32774CB6D497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R&amp;D = 2,105.</t>
        </r>
      </text>
    </comment>
    <comment ref="D12" authorId="0" shapeId="0" xr:uid="{A5A4FF4A-75C1-8A4B-90C3-3E200EC19F4B}">
      <text>
        <r>
          <rPr>
            <b/>
            <sz val="10"/>
            <color rgb="FF000000"/>
            <rFont val="Tahoma"/>
            <family val="2"/>
          </rPr>
          <t>Source: SpaceX S-1, §3. FY25 SG&amp;A = 2,644.</t>
        </r>
      </text>
    </comment>
    <comment ref="E12" authorId="0" shapeId="0" xr:uid="{A0E48E49-5829-634A-A169-EB220C0DF0FA}">
      <text>
        <r>
          <rPr>
            <b/>
            <sz val="10"/>
            <color rgb="FF000000"/>
            <rFont val="Tahoma"/>
            <family val="2"/>
          </rPr>
          <t>Source: SpaceX S-1, §3. FY24 SG&amp;A = 1,813.</t>
        </r>
      </text>
    </comment>
    <comment ref="F12" authorId="0" shapeId="0" xr:uid="{063F0B68-1A10-0145-9135-9F0397ACDBD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SG&amp;A = 1,665.</t>
        </r>
      </text>
    </comment>
    <comment ref="D13" authorId="0" shapeId="0" xr:uid="{D79505A9-3512-7B4E-A0BD-180820CD0A8B}">
      <text>
        <r>
          <rPr>
            <b/>
            <sz val="10"/>
            <color rgb="FF000000"/>
            <rFont val="Tahoma"/>
            <family val="2"/>
          </rPr>
          <t>Source: SpaceX S-1, §3. FY25 restructuring = 487.</t>
        </r>
      </text>
    </comment>
    <comment ref="E13" authorId="0" shapeId="0" xr:uid="{3E86610F-1958-BD41-B1FD-CC614694F331}">
      <text>
        <r>
          <rPr>
            <b/>
            <sz val="10"/>
            <color rgb="FF000000"/>
            <rFont val="Tahoma"/>
            <family val="2"/>
          </rPr>
          <t>Source: SpaceX S-1, §3. FY24 restructuring = 213.</t>
        </r>
      </text>
    </comment>
    <comment ref="F13" authorId="0" shapeId="0" xr:uid="{B511C30E-43E0-B94A-997B-93D37518AB6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restructuring = 237.</t>
        </r>
      </text>
    </comment>
    <comment ref="D14" authorId="0" shapeId="0" xr:uid="{2F6FD19E-ACAF-B442-A333-FA8239580478}">
      <text>
        <r>
          <rPr>
            <b/>
            <sz val="10"/>
            <color rgb="FF000000"/>
            <rFont val="Tahoma"/>
            <family val="2"/>
          </rPr>
          <t>Source: SpaceX S-1, §3. FY25 impairment = 38.</t>
        </r>
      </text>
    </comment>
    <comment ref="E14" authorId="0" shapeId="0" xr:uid="{85A39D2D-8FD5-A14D-8286-636BC92E462F}">
      <text>
        <r>
          <rPr>
            <b/>
            <sz val="10"/>
            <color rgb="FF000000"/>
            <rFont val="Tahoma"/>
            <family val="2"/>
          </rPr>
          <t>Source: SpaceX S-1, §3. FY24 impairment = 63.</t>
        </r>
      </text>
    </comment>
    <comment ref="F14" authorId="0" shapeId="0" xr:uid="{AEF65C21-7631-A642-A481-527CC8ACE9A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impairment = 3,775 (large historical writedown).</t>
        </r>
      </text>
    </comment>
    <comment ref="D16" authorId="0" shapeId="0" xr:uid="{37B21FBC-6028-AB49-B010-024AA4362925}">
      <text>
        <r>
          <rPr>
            <b/>
            <sz val="10"/>
            <color rgb="FF000000"/>
            <rFont val="Tahoma"/>
            <family val="2"/>
          </rPr>
          <t>Source: SpaceX S-1, §3. FY25 interest expense = (1,945).</t>
        </r>
      </text>
    </comment>
    <comment ref="E16" authorId="0" shapeId="0" xr:uid="{9C2A4760-9E1C-594C-88B5-572C1A9FAEF3}">
      <text>
        <r>
          <rPr>
            <b/>
            <sz val="10"/>
            <color rgb="FF000000"/>
            <rFont val="Tahoma"/>
            <family val="2"/>
          </rPr>
          <t>Source: SpaceX S-1, §3. FY24 interest expense = (1,580).</t>
        </r>
      </text>
    </comment>
    <comment ref="F16" authorId="0" shapeId="0" xr:uid="{56065DA2-58A1-984D-A31F-FFC69C9F4B5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interest expense = (1,693).</t>
        </r>
      </text>
    </comment>
    <comment ref="D17" authorId="0" shapeId="0" xr:uid="{DA2EF706-EA6B-FF4F-879C-AC3132A2D3A0}">
      <text>
        <r>
          <rPr>
            <b/>
            <sz val="10"/>
            <color rgb="FF000000"/>
            <rFont val="Tahoma"/>
            <family val="2"/>
          </rPr>
          <t>Source: SpaceX S-1, §3. FY25 interest income = 492.</t>
        </r>
      </text>
    </comment>
    <comment ref="E17" authorId="0" shapeId="0" xr:uid="{1182BA37-9869-A048-BC5F-022D6F7EDD7C}">
      <text>
        <r>
          <rPr>
            <b/>
            <sz val="10"/>
            <color rgb="FF000000"/>
            <rFont val="Tahoma"/>
            <family val="2"/>
          </rPr>
          <t>Source: SpaceX S-1, §3. FY24 interest income = 371.</t>
        </r>
      </text>
    </comment>
    <comment ref="F17" authorId="0" shapeId="0" xr:uid="{0954681E-BD44-A243-8D7F-030F1FD9909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interest income = 249.</t>
        </r>
      </text>
    </comment>
    <comment ref="D18" authorId="0" shapeId="0" xr:uid="{DC11F988-6EA6-3D41-A386-29DEBD7A2ABF}">
      <text>
        <r>
          <rPr>
            <b/>
            <sz val="10"/>
            <color rgb="FF000000"/>
            <rFont val="Tahoma"/>
            <family val="2"/>
          </rPr>
          <t>Source: SpaceX S-1, §3. FY25 other = (177).</t>
        </r>
      </text>
    </comment>
    <comment ref="E18" authorId="0" shapeId="0" xr:uid="{E963829C-1BCA-E342-9DEA-85367CBD626E}">
      <text>
        <r>
          <rPr>
            <b/>
            <sz val="10"/>
            <color rgb="FF000000"/>
            <rFont val="Tahoma"/>
            <family val="2"/>
          </rPr>
          <t>Source: SpaceX S-1, §3. FY24 other = 985.</t>
        </r>
      </text>
    </comment>
    <comment ref="F18" authorId="0" shapeId="0" xr:uid="{68EEED2C-BF1E-8F4E-A299-6246CFE9714D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other = (42).</t>
        </r>
      </text>
    </comment>
    <comment ref="D20" authorId="0" shapeId="0" xr:uid="{846D052C-CACA-B54D-8FDB-708446002BA4}">
      <text>
        <r>
          <rPr>
            <b/>
            <sz val="10"/>
            <color rgb="FF000000"/>
            <rFont val="Tahoma"/>
            <family val="2"/>
          </rPr>
          <t>Source: SpaceX S-1, §3. FY25 tax = 718.</t>
        </r>
      </text>
    </comment>
    <comment ref="E20" authorId="0" shapeId="0" xr:uid="{37B5B63D-69C9-7847-8EA9-87B6072F37EE}">
      <text>
        <r>
          <rPr>
            <b/>
            <sz val="10"/>
            <color rgb="FF000000"/>
            <rFont val="Tahoma"/>
            <family val="2"/>
          </rPr>
          <t>Source: SpaceX S-1, §3. FY24 tax = (549) [benefit].</t>
        </r>
      </text>
    </comment>
    <comment ref="F20" authorId="0" shapeId="0" xr:uid="{C0CC2878-1C92-A545-9983-BC989A83E80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tax = (363) [benefit].</t>
        </r>
      </text>
    </comment>
    <comment ref="D23" authorId="0" shapeId="0" xr:uid="{C649A950-7362-934A-B84E-E6C7E32B7072}">
      <text>
        <r>
          <rPr>
            <b/>
            <sz val="10"/>
            <color rgb="FF000000"/>
            <rFont val="Tahoma"/>
            <family val="2"/>
          </rPr>
          <t>Source: SpaceX S-1, §3. FY25 basic EPS = (1.69).</t>
        </r>
      </text>
    </comment>
    <comment ref="E23" authorId="0" shapeId="0" xr:uid="{4682D447-5E1C-0E4A-B780-482B41D16F11}">
      <text>
        <r>
          <rPr>
            <b/>
            <sz val="10"/>
            <color rgb="FF000000"/>
            <rFont val="Tahoma"/>
            <family val="2"/>
          </rPr>
          <t>Source: SpaceX S-1, §3. FY24 basic EPS = 0.01.</t>
        </r>
      </text>
    </comment>
    <comment ref="F23" authorId="0" shapeId="0" xr:uid="{23164DC7-09C5-A449-8575-F341F08BC056}">
      <text>
        <r>
          <rPr>
            <b/>
            <sz val="10"/>
            <color rgb="FF000000"/>
            <rFont val="Tahoma"/>
            <family val="2"/>
          </rPr>
          <t>Source: SpaceX S-1, §3. FY23 basic EPS = (1.68).</t>
        </r>
      </text>
    </comment>
    <comment ref="D24" authorId="0" shapeId="0" xr:uid="{B227C2C3-48DA-6946-AD5B-4A9D8C658231}">
      <text>
        <r>
          <rPr>
            <b/>
            <sz val="10"/>
            <color rgb="FF000000"/>
            <rFont val="Tahoma"/>
            <family val="2"/>
          </rPr>
          <t>Source: SpaceX S-1, §3. FY25 diluted EPS = (1.69).</t>
        </r>
      </text>
    </comment>
    <comment ref="E24" authorId="0" shapeId="0" xr:uid="{4FE1473B-285F-374B-A841-E982627580D9}">
      <text>
        <r>
          <rPr>
            <b/>
            <sz val="10"/>
            <color rgb="FF000000"/>
            <rFont val="Tahoma"/>
            <family val="2"/>
          </rPr>
          <t>Source: SpaceX S-1, §3. FY24 diluted EPS = 0.00.</t>
        </r>
      </text>
    </comment>
    <comment ref="F24" authorId="0" shapeId="0" xr:uid="{B8B7C557-8DAF-EF4A-8C93-2DCB7559996F}">
      <text>
        <r>
          <rPr>
            <b/>
            <sz val="10"/>
            <color rgb="FF000000"/>
            <rFont val="Tahoma"/>
            <family val="2"/>
          </rPr>
          <t>Source: SpaceX S-1, §3. FY23 diluted EPS = (1.68).</t>
        </r>
      </text>
    </comment>
    <comment ref="D25" authorId="0" shapeId="0" xr:uid="{DC091A2A-FE42-4248-9C4B-524A4F394835}">
      <text>
        <r>
          <rPr>
            <b/>
            <sz val="10"/>
            <color rgb="FF000000"/>
            <rFont val="Tahoma"/>
            <family val="2"/>
          </rPr>
          <t>Source: SpaceX S-1, §3. FY25 basic WAS = 2,926M (in 000s).</t>
        </r>
      </text>
    </comment>
    <comment ref="E25" authorId="0" shapeId="0" xr:uid="{57F649F0-F37E-F148-802C-791B155A1851}">
      <text>
        <r>
          <rPr>
            <b/>
            <sz val="10"/>
            <color rgb="FF000000"/>
            <rFont val="Tahoma"/>
            <family val="2"/>
          </rPr>
          <t>Source: SpaceX S-1, §3. FY24 basic WAS = 2,848M.</t>
        </r>
      </text>
    </comment>
    <comment ref="F25" authorId="0" shapeId="0" xr:uid="{9968DA1A-C947-5C49-9FAA-788F5062CDB7}">
      <text>
        <r>
          <rPr>
            <b/>
            <sz val="10"/>
            <color rgb="FF000000"/>
            <rFont val="Tahoma"/>
            <family val="2"/>
          </rPr>
          <t>Source: SpaceX S-1, §3. FY23 basic WAS = 2,759M.</t>
        </r>
      </text>
    </comment>
    <comment ref="D26" authorId="0" shapeId="0" xr:uid="{2A976425-94CB-7043-BB03-02E644AD8190}">
      <text>
        <r>
          <rPr>
            <b/>
            <sz val="10"/>
            <color rgb="FF000000"/>
            <rFont val="Tahoma"/>
            <family val="2"/>
          </rPr>
          <t>Source: SpaceX S-1, §3. FY25 diluted WAS = 2,926M.</t>
        </r>
      </text>
    </comment>
    <comment ref="E26" authorId="0" shapeId="0" xr:uid="{3457F1D3-BE58-AE44-BF1B-69C5D991AF0A}">
      <text>
        <r>
          <rPr>
            <b/>
            <sz val="10"/>
            <color rgb="FF000000"/>
            <rFont val="Tahoma"/>
            <family val="2"/>
          </rPr>
          <t>Source: SpaceX S-1, §3. FY24 diluted WAS = 9,956M (income year, includes pref).</t>
        </r>
      </text>
    </comment>
    <comment ref="F26" authorId="0" shapeId="0" xr:uid="{889703B3-F511-054E-B91F-5778D8458C90}">
      <text>
        <r>
          <rPr>
            <b/>
            <sz val="10"/>
            <color rgb="FF000000"/>
            <rFont val="Tahoma"/>
            <family val="2"/>
          </rPr>
          <t>Source: SpaceX S-1, §3. FY23 diluted WAS = 2,759M.</t>
        </r>
      </text>
    </comment>
    <comment ref="D27" authorId="0" shapeId="0" xr:uid="{AAFA207B-AECA-A34C-92F0-2BF07DB6DF74}">
      <text>
        <r>
          <rPr>
            <b/>
            <sz val="10"/>
            <color rgb="FF000000"/>
            <rFont val="Tahoma"/>
            <family val="2"/>
          </rPr>
          <t>Source: SpaceX S-1, §3. FY25 Adj EBITDA = 6,584.</t>
        </r>
      </text>
    </comment>
    <comment ref="E27" authorId="0" shapeId="0" xr:uid="{9F323543-ECA1-E14F-96E6-74924666632F}">
      <text>
        <r>
          <rPr>
            <b/>
            <sz val="10"/>
            <color rgb="FF000000"/>
            <rFont val="Tahoma"/>
            <family val="2"/>
          </rPr>
          <t>Source: SpaceX S-1, §3. FY24 Adj EBITDA = 5,350.</t>
        </r>
      </text>
    </comment>
    <comment ref="F27" authorId="0" shapeId="0" xr:uid="{D8F470F6-B5B7-7342-9D6F-EBF4318DF842}">
      <text>
        <r>
          <rPr>
            <b/>
            <sz val="10"/>
            <color rgb="FF000000"/>
            <rFont val="Tahoma"/>
            <family val="2"/>
          </rPr>
          <t>Source: SpaceX S-1, §3. FY23 Adj EBITDA = 3,821.</t>
        </r>
      </text>
    </comment>
    <comment ref="D28" authorId="0" shapeId="0" xr:uid="{060E6AD3-3385-494D-B765-C8EF4A6A98DF}">
      <text>
        <r>
          <rPr>
            <b/>
            <sz val="10"/>
            <color rgb="FF000000"/>
            <rFont val="Tahoma"/>
            <family val="2"/>
          </rPr>
          <t>Non-GAAP net loss not separately disclosed in summary.</t>
        </r>
      </text>
    </comment>
    <comment ref="D29" authorId="0" shapeId="0" xr:uid="{6F39E0B7-41E2-0D4C-BD55-5B472F869A7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SBC by line item not broken out in summary.</t>
        </r>
      </text>
    </comment>
    <comment ref="D33" authorId="0" shapeId="0" xr:uid="{A2F33F37-8403-4146-B517-C29F5E7C5756}">
      <text>
        <r>
          <rPr>
            <b/>
            <sz val="10"/>
            <color rgb="FF000000"/>
            <rFont val="Tahoma"/>
            <family val="2"/>
          </rPr>
          <t>PLACEHOLDER. SBC estimate, see D68 for derivation.</t>
        </r>
      </text>
    </comment>
    <comment ref="E33" authorId="0" shapeId="0" xr:uid="{F286E2D9-1DD1-C64F-A42B-FAD30F3ED491}">
      <text>
        <r>
          <rPr>
            <b/>
            <sz val="10"/>
            <color rgb="FF000000"/>
            <rFont val="Tahoma"/>
            <family val="2"/>
          </rPr>
          <t>PLACEHOLDER. SBC estimate, see E68.</t>
        </r>
      </text>
    </comment>
    <comment ref="F33" authorId="0" shapeId="0" xr:uid="{2C8BB536-56B2-564F-A295-32FEA9C147B4}">
      <text>
        <r>
          <rPr>
            <b/>
            <sz val="10"/>
            <color rgb="FF000000"/>
            <rFont val="Tahoma"/>
            <family val="2"/>
          </rPr>
          <t>PLACEHOLDER. SBC estimate, see F68.</t>
        </r>
      </text>
    </comment>
    <comment ref="D34" authorId="0" shapeId="0" xr:uid="{5C681B5B-1E16-F44A-BB1E-4975AEF3CC89}">
      <text>
        <r>
          <rPr>
            <b/>
            <sz val="10"/>
            <color rgb="FF000000"/>
            <rFont val="Tahoma"/>
            <family val="2"/>
          </rPr>
          <t>Source: SpaceX S-1, §11. Dec 31 2025 cash = 24,747.</t>
        </r>
      </text>
    </comment>
    <comment ref="E34" authorId="0" shapeId="0" xr:uid="{FBD82B03-4A6C-1240-BE57-EE304449C81C}">
      <text>
        <r>
          <rPr>
            <b/>
            <sz val="10"/>
            <color rgb="FF000000"/>
            <rFont val="Tahoma"/>
            <family val="2"/>
          </rPr>
          <t>Source: SpaceX S-1, §11. Dec 31 2024 cash = 11,385.</t>
        </r>
      </text>
    </comment>
    <comment ref="F34" authorId="0" shapeId="0" xr:uid="{AADCDC7A-7E21-B443-8A45-229B73DD4580}">
      <text>
        <r>
          <rPr>
            <b/>
            <sz val="10"/>
            <color rgb="FF000000"/>
            <rFont val="Tahoma"/>
            <family val="2"/>
          </rPr>
          <t>FY23 (Dec 31 2023) balance sheet not disclosed in S-1 markdown summary.</t>
        </r>
      </text>
    </comment>
    <comment ref="D35" authorId="0" shapeId="0" xr:uid="{D6917799-D083-9849-BFDB-31A5D7AB4990}">
      <text>
        <r>
          <rPr>
            <b/>
            <sz val="10"/>
            <color rgb="FF000000"/>
            <rFont val="Tahoma"/>
            <family val="2"/>
          </rPr>
          <t>Source: SpaceX S-1, §11. Dec 31 2025 marketable securities = 0.</t>
        </r>
      </text>
    </comment>
    <comment ref="E35" authorId="0" shapeId="0" xr:uid="{B6B71228-6203-CD49-A2E7-1526D70618C9}">
      <text>
        <r>
          <rPr>
            <b/>
            <sz val="10"/>
            <color rgb="FF000000"/>
            <rFont val="Tahoma"/>
            <family val="2"/>
          </rPr>
          <t>Source: SpaceX S-1, §11. Dec 31 2024 = 800.</t>
        </r>
      </text>
    </comment>
    <comment ref="F35" authorId="0" shapeId="0" xr:uid="{5B3AF954-8861-E04E-8791-21FD220A285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36" authorId="0" shapeId="0" xr:uid="{039DFB38-89BF-E84C-9F8A-D8902099DCA4}">
      <text>
        <r>
          <rPr>
            <b/>
            <sz val="10"/>
            <color rgb="FF000000"/>
            <rFont val="Tahoma"/>
            <family val="2"/>
          </rPr>
          <t>Source: SpaceX S-1, §11. Dec 31 2025 digital assets = 1,637.</t>
        </r>
      </text>
    </comment>
    <comment ref="E36" authorId="0" shapeId="0" xr:uid="{D79E4D26-0377-5E49-B451-983838709DE2}">
      <text>
        <r>
          <rPr>
            <b/>
            <sz val="10"/>
            <color rgb="FF000000"/>
            <rFont val="Tahoma"/>
            <family val="2"/>
          </rPr>
          <t>Source: SpaceX S-1, §11. Dec 31 2024 = 1,749.</t>
        </r>
      </text>
    </comment>
    <comment ref="F36" authorId="0" shapeId="0" xr:uid="{B8BAAD0D-1039-B044-92B4-94CB75F9B5F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37" authorId="0" shapeId="0" xr:uid="{3D28C9CE-8D70-E741-81C5-30540A713121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37" authorId="0" shapeId="0" xr:uid="{78D0F29A-283C-AF47-A8A5-4B3D5EB49079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37" authorId="0" shapeId="0" xr:uid="{5CCB8F95-E597-C54D-A812-020AE6C9D87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38" authorId="0" shapeId="0" xr:uid="{FB7152DE-FAF4-D64A-A43B-03BA1A6A9871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38" authorId="0" shapeId="0" xr:uid="{627DD561-1910-3E40-BC26-D4652A1BE555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38" authorId="0" shapeId="0" xr:uid="{B06F779A-6E0E-B141-B918-D1AD2738E52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39" authorId="0" shapeId="0" xr:uid="{3F31A6E0-96FA-2C49-A0F8-EA9D2756BB3E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39" authorId="0" shapeId="0" xr:uid="{F8705EBF-3F72-B84A-BC2C-E4C338CD1E53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39" authorId="0" shapeId="0" xr:uid="{D42B9D8F-D5F4-F74E-8521-9C217A25021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0" authorId="0" shapeId="0" xr:uid="{90436EA7-FB64-5A4B-80CC-A3F4AAE7B7BB}">
      <text>
        <r>
          <rPr>
            <b/>
            <sz val="10"/>
            <color rgb="FF000000"/>
            <rFont val="Tahoma"/>
            <family val="2"/>
          </rPr>
          <t>Source: SpaceX S-1, §11. Dec 31 2025 total CA = 30,952.</t>
        </r>
      </text>
    </comment>
    <comment ref="E40" authorId="0" shapeId="0" xr:uid="{BC37B6AB-5F75-9747-9891-28006DD6FDC4}">
      <text>
        <r>
          <rPr>
            <b/>
            <sz val="10"/>
            <color rgb="FF000000"/>
            <rFont val="Tahoma"/>
            <family val="2"/>
          </rPr>
          <t>Source: SpaceX S-1, §11. Dec 31 2024 = 16,108.</t>
        </r>
      </text>
    </comment>
    <comment ref="F40" authorId="0" shapeId="0" xr:uid="{DC6079AF-4FDC-AC47-AEE1-5A608455147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1" authorId="0" shapeId="0" xr:uid="{4257DA1C-7156-194D-9301-6013A055C11F}">
      <text>
        <r>
          <rPr>
            <b/>
            <sz val="10"/>
            <color rgb="FF000000"/>
            <rFont val="Tahoma"/>
            <family val="2"/>
          </rPr>
          <t>Source: SpaceX S-1, §11. Dec 31 2025 PP&amp;E = 42,602.</t>
        </r>
      </text>
    </comment>
    <comment ref="E41" authorId="0" shapeId="0" xr:uid="{4A64B4F3-7A8A-BC48-8201-FF485DD392FF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1" authorId="0" shapeId="0" xr:uid="{66463C4E-FCC3-3B48-8618-54FAC7362E7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2" authorId="0" shapeId="0" xr:uid="{C07477E8-B0CA-7041-8D15-6B94BD3F8F52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42" authorId="0" shapeId="0" xr:uid="{95184179-AEA0-2A43-9D2B-59F1118C8B58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2" authorId="0" shapeId="0" xr:uid="{CCA54250-F0E3-F044-A3D2-D0448C9B912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3" authorId="0" shapeId="0" xr:uid="{7381F330-7EE8-6A43-8771-11A8378B985A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43" authorId="0" shapeId="0" xr:uid="{8B247A6B-EBA2-0744-81A5-8B15A32B96E7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3" authorId="0" shapeId="0" xr:uid="{4AE6AB87-A2AE-8E43-ABF2-D37FF522B6C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4" authorId="0" shapeId="0" xr:uid="{8468A99F-133E-3841-9475-7A001F661BD6}">
      <text>
        <r>
          <rPr>
            <b/>
            <sz val="10"/>
            <color rgb="FF000000"/>
            <rFont val="Tahoma"/>
            <family val="2"/>
          </rPr>
          <t>Source: SpaceX S-1, §11. Goodwill.</t>
        </r>
      </text>
    </comment>
    <comment ref="E44" authorId="0" shapeId="0" xr:uid="{5AE108A4-C932-754C-A7F0-6ED85D1F11F7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4" authorId="0" shapeId="0" xr:uid="{4EC9AFAA-CE9C-E449-9F3C-5EF3A7D8600D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5" authorId="0" shapeId="0" xr:uid="{E57656F7-98DB-1A46-B329-C162DFC027E2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45" authorId="0" shapeId="0" xr:uid="{88459985-8F7E-F443-9DD0-8212E5F6278F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5" authorId="0" shapeId="0" xr:uid="{6D52BE56-6DE3-E942-B14B-9FB0FB74EEA7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6" authorId="0" shapeId="0" xr:uid="{4C9D77B3-6926-A748-A73C-2808431B7D57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46" authorId="0" shapeId="0" xr:uid="{B165E27E-1C03-BF43-86FD-E0EDA23BC5B9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6" authorId="0" shapeId="0" xr:uid="{1BF43B5D-42B2-7444-8947-0E2294BFA30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7" authorId="0" shapeId="0" xr:uid="{A0112071-28C9-B94F-9BE1-5ED3AE760FCB}">
      <text>
        <r>
          <rPr>
            <b/>
            <sz val="10"/>
            <color rgb="FF000000"/>
            <rFont val="Tahoma"/>
            <family val="2"/>
          </rPr>
          <t>Source: SpaceX S-1, §11. Total assets Dec 31 2025 = 92,079.</t>
        </r>
      </text>
    </comment>
    <comment ref="E47" authorId="0" shapeId="0" xr:uid="{19245525-2347-0D4B-8E19-D3784464E0D3}">
      <text>
        <r>
          <rPr>
            <b/>
            <sz val="10"/>
            <color rgb="FF000000"/>
            <rFont val="Tahoma"/>
            <family val="2"/>
          </rPr>
          <t>Source: SpaceX S-1, §11. Dec 31 2024 = 57,062.</t>
        </r>
      </text>
    </comment>
    <comment ref="F47" authorId="0" shapeId="0" xr:uid="{E8DC171C-9B80-1147-BDFD-7D5D71D2B54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8" authorId="0" shapeId="0" xr:uid="{A95F68B5-7D15-2348-AB70-A6A61874ACC5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48" authorId="0" shapeId="0" xr:uid="{060985D5-012D-0247-989A-BF8427DBA4C7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8" authorId="0" shapeId="0" xr:uid="{629CC115-A8F9-9648-ADB6-B879FF78302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49" authorId="0" shapeId="0" xr:uid="{F5037166-A115-5140-9719-4945F2559614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49" authorId="0" shapeId="0" xr:uid="{F9C637CF-94B2-9D46-966B-4802D4C5FD9E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49" authorId="0" shapeId="0" xr:uid="{9474D467-343C-194C-962A-391B4266D74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0" authorId="0" shapeId="0" xr:uid="{89329DB9-5353-524A-AEBB-1572DC8C80A8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50" authorId="0" shapeId="0" xr:uid="{B0C6DF75-CFC6-134C-AFC1-FBA7B7C95BF5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0" authorId="0" shapeId="0" xr:uid="{1F18D4CB-FE21-B943-8E4B-CD598C44E27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1" authorId="0" shapeId="0" xr:uid="{07FB9430-F183-4E4A-B2EA-4D1CD0509DEE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51" authorId="0" shapeId="0" xr:uid="{33C1D3D3-6936-1140-B68D-0B28DFF355C1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1" authorId="0" shapeId="0" xr:uid="{14EF0112-16E6-C94E-A2AC-28A6D580371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2" authorId="0" shapeId="0" xr:uid="{5C47A1D5-4C39-274C-AA03-397B38894A07}">
      <text>
        <r>
          <rPr>
            <b/>
            <sz val="10"/>
            <color rgb="FF000000"/>
            <rFont val="Tahoma"/>
            <family val="2"/>
          </rPr>
          <t>Source: SpaceX S-1, §11. Total CL Dec 31 2025.</t>
        </r>
      </text>
    </comment>
    <comment ref="E52" authorId="0" shapeId="0" xr:uid="{0C922C1A-08F4-DC4B-839E-8394A8DDC072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2" authorId="0" shapeId="0" xr:uid="{24CFB9C4-308D-A744-8050-40021DDF0E0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3" authorId="0" shapeId="0" xr:uid="{78AB775C-AFBD-BD4F-8969-6903FD60F768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53" authorId="0" shapeId="0" xr:uid="{7CF78231-DD3A-0142-82EF-78CE30B2404A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3" authorId="0" shapeId="0" xr:uid="{D8E9B738-75E9-D648-907C-263D1E6BFD4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4" authorId="0" shapeId="0" xr:uid="{0BC97FEE-D8F4-B842-B58B-1BFE08AA09D3}">
      <text>
        <r>
          <rPr>
            <b/>
            <sz val="10"/>
            <color rgb="FF000000"/>
            <rFont val="Tahoma"/>
            <family val="2"/>
          </rPr>
          <t>Source: SpaceX S-1, §11. Debt LT Dec 31 2025.</t>
        </r>
      </text>
    </comment>
    <comment ref="E54" authorId="0" shapeId="0" xr:uid="{B392EBF0-6F63-5A44-B36B-06663925DF8D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4" authorId="0" shapeId="0" xr:uid="{B0E75203-46BA-B849-9A4A-E073A6D38C8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5" authorId="0" shapeId="0" xr:uid="{1A7CA5CE-F4F3-1445-A685-65E35022F18A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E55" authorId="0" shapeId="0" xr:uid="{882B45B6-3A14-D744-A206-452BDA8C7949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5" authorId="0" shapeId="0" xr:uid="{1049B8E6-6287-764A-AC43-9E5992830D7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6" authorId="0" shapeId="0" xr:uid="{C4EF7B73-4DEA-0B43-BA68-11030083E687}">
      <text>
        <r>
          <rPr>
            <b/>
            <sz val="10"/>
            <color rgb="FF000000"/>
            <rFont val="Tahoma"/>
            <family val="2"/>
          </rPr>
          <t>Source: SpaceX S-1, §11. Total liab Dec 31 2025.</t>
        </r>
      </text>
    </comment>
    <comment ref="E56" authorId="0" shapeId="0" xr:uid="{88A8697A-1232-4B48-9D35-C25094EF326D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6" authorId="0" shapeId="0" xr:uid="{735638A0-CE73-A24F-8DE2-DE2B54E0614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7" authorId="0" shapeId="0" xr:uid="{2FC3DCE0-D0F7-B342-AF95-504CBADB121A}">
      <text>
        <r>
          <rPr>
            <b/>
            <sz val="10"/>
            <color rgb="FF000000"/>
            <rFont val="Tahoma"/>
            <family val="2"/>
          </rPr>
          <t>Source: SpaceX S-1, §11. Redeemable convertible preferred.</t>
        </r>
      </text>
    </comment>
    <comment ref="E57" authorId="0" shapeId="0" xr:uid="{12F478D6-D4F6-324F-A5B0-1157306B6C90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7" authorId="0" shapeId="0" xr:uid="{E5AE5E9E-40A2-364A-876B-BB8618922C1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8" authorId="0" shapeId="0" xr:uid="{51D75C10-8A47-5441-BFBF-25E773ADB794}">
      <text>
        <r>
          <rPr>
            <b/>
            <sz val="10"/>
            <color rgb="FF000000"/>
            <rFont val="Tahoma"/>
            <family val="2"/>
          </rPr>
          <t>Source: SpaceX S-1, §11. Total stockholders' equity.</t>
        </r>
      </text>
    </comment>
    <comment ref="E58" authorId="0" shapeId="0" xr:uid="{11A2686C-AAF7-384F-A88C-3FA668432CF3}">
      <text>
        <r>
          <rPr>
            <b/>
            <sz val="10"/>
            <color rgb="FF000000"/>
            <rFont val="Tahoma"/>
            <family val="2"/>
          </rPr>
          <t>Source: SpaceX S-1, §11.</t>
        </r>
      </text>
    </comment>
    <comment ref="F58" authorId="0" shapeId="0" xr:uid="{A2353D15-1C7D-3A46-BAD0-243AFC53AFF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59" authorId="0" shapeId="0" xr:uid="{DE677FFE-0948-784A-9460-883CA72E5A5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Check: should equal D47 total assets.</t>
        </r>
      </text>
    </comment>
    <comment ref="F59" authorId="0" shapeId="0" xr:uid="{8A14A908-0927-0B4B-93FF-2DFBA79D649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BS not disclosed.</t>
        </r>
      </text>
    </comment>
    <comment ref="D60" authorId="0" shapeId="0" xr:uid="{545799B8-7AC0-1048-ABF0-31799854C3B0}">
      <text>
        <r>
          <rPr>
            <b/>
            <sz val="10"/>
            <color rgb="FF000000"/>
            <rFont val="Tahoma"/>
            <family val="2"/>
          </rPr>
          <t>Source: SpaceX S-1, §10. FY25 OCF = 6,785.</t>
        </r>
      </text>
    </comment>
    <comment ref="E60" authorId="0" shapeId="0" xr:uid="{2C24C1AF-34A3-C244-9BB4-7663E1512064}">
      <text>
        <r>
          <rPr>
            <b/>
            <sz val="10"/>
            <color rgb="FF000000"/>
            <rFont val="Tahoma"/>
            <family val="2"/>
          </rPr>
          <t>Source: SpaceX S-1, §10. FY24 OCF = 5,776.</t>
        </r>
      </text>
    </comment>
    <comment ref="F60" authorId="0" shapeId="0" xr:uid="{24E0DF16-FF09-8A4C-9710-4639C9C9BEF8}">
      <text>
        <r>
          <rPr>
            <b/>
            <sz val="10"/>
            <color rgb="FF000000"/>
            <rFont val="Tahoma"/>
            <family val="2"/>
          </rPr>
          <t>Source: SpaceX S-1, §10. FY23 OCF = 4,520.</t>
        </r>
      </text>
    </comment>
    <comment ref="D61" authorId="0" shapeId="0" xr:uid="{FFB3105B-620D-FA4E-96F8-B31F6536F422}">
      <text>
        <r>
          <rPr>
            <b/>
            <sz val="10"/>
            <color rgb="FF000000"/>
            <rFont val="Tahoma"/>
            <family val="2"/>
          </rPr>
          <t>Source: SpaceX S-1, §10. FY25 ICF = (19,575).</t>
        </r>
      </text>
    </comment>
    <comment ref="E61" authorId="0" shapeId="0" xr:uid="{22929858-0887-1941-B5A2-7B16ADC26746}">
      <text>
        <r>
          <rPr>
            <b/>
            <sz val="10"/>
            <color rgb="FF000000"/>
            <rFont val="Tahoma"/>
            <family val="2"/>
          </rPr>
          <t>Source: SpaceX S-1, §10. FY24 = (10,796).</t>
        </r>
      </text>
    </comment>
    <comment ref="F61" authorId="0" shapeId="0" xr:uid="{59DCA88F-05C7-D244-B520-9FBD6E644F06}">
      <text>
        <r>
          <rPr>
            <b/>
            <sz val="10"/>
            <color rgb="FF000000"/>
            <rFont val="Tahoma"/>
            <family val="2"/>
          </rPr>
          <t>Source: SpaceX S-1, §10. FY23 = (4,867).</t>
        </r>
      </text>
    </comment>
    <comment ref="D62" authorId="0" shapeId="0" xr:uid="{2F6CB4F6-FF57-5848-95C1-B040A1F5B95E}">
      <text>
        <r>
          <rPr>
            <b/>
            <sz val="10"/>
            <color rgb="FF000000"/>
            <rFont val="Tahoma"/>
            <family val="2"/>
          </rPr>
          <t>Source: SpaceX S-1, §10. FY25 FCF = 26,350.</t>
        </r>
      </text>
    </comment>
    <comment ref="E62" authorId="0" shapeId="0" xr:uid="{C8ED7E91-C135-6742-991D-290470DC6552}">
      <text>
        <r>
          <rPr>
            <b/>
            <sz val="10"/>
            <color rgb="FF000000"/>
            <rFont val="Tahoma"/>
            <family val="2"/>
          </rPr>
          <t>Source: SpaceX S-1, §10. FY24 FCF = 11,830.</t>
        </r>
      </text>
    </comment>
    <comment ref="F62" authorId="0" shapeId="0" xr:uid="{45BA8E8D-C4D2-644D-B138-1943AF3E95C6}">
      <text>
        <r>
          <rPr>
            <b/>
            <sz val="10"/>
            <color rgb="FF000000"/>
            <rFont val="Tahoma"/>
            <family val="2"/>
          </rPr>
          <t>Source: SpaceX S-1, §10. FY23 FCF = 422.</t>
        </r>
      </text>
    </comment>
    <comment ref="D63" authorId="0" shapeId="0" xr:uid="{E65627AA-4EB8-5442-9DB9-3BEB5A37107B}">
      <text>
        <r>
          <rPr>
            <b/>
            <sz val="10"/>
            <color rgb="FF000000"/>
            <rFont val="Tahoma"/>
            <family val="2"/>
          </rPr>
          <t>FX impact immaterial / not separately disclosed.</t>
        </r>
      </text>
    </comment>
    <comment ref="D65" authorId="0" shapeId="0" xr:uid="{2CABF354-6F7A-5044-BACE-C938CE2B591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S-1. Beginning cash not separately stated.</t>
        </r>
      </text>
    </comment>
    <comment ref="D66" authorId="0" shapeId="0" xr:uid="{DF601E74-2474-8B45-91F0-B239B96709E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S-1. Ending cash = D34.</t>
        </r>
      </text>
    </comment>
    <comment ref="D67" authorId="0" shapeId="0" xr:uid="{628DD236-ECBF-654F-A024-0E335051213C}">
      <text>
        <r>
          <rPr>
            <b/>
            <sz val="10"/>
            <color rgb="FF000000"/>
            <rFont val="Tahoma"/>
            <family val="2"/>
          </rPr>
          <t>PLACEHOLDER. D&amp;A not separately disclosed in markdown summary. Back-solved from disclosed Adj EBITDA: Op loss (2,589) + Adj EBITDA 6,584 = $9,173M of addbacks; minus restructuring $487 + impairment $38 = $525M of one-time = $8,648M of D&amp;A + SBC. Assuming SBC = 7% of revenue ($1,307M), D&amp;A residual = $7,341M. Refine when full S-1 parsed.</t>
        </r>
      </text>
    </comment>
    <comment ref="E67" authorId="0" shapeId="0" xr:uid="{1255087F-6520-2D4F-985B-9FA10A107D0D}">
      <text>
        <r>
          <rPr>
            <b/>
            <sz val="10"/>
            <color rgb="FF000000"/>
            <rFont val="Tahoma"/>
            <family val="2"/>
          </rPr>
          <t>PLACEHOLDER. FY24 D&amp;A back-solved from Adj EBITDA addbacks: $4,884M total - $276M (restr+impair) - $981M SBC at 7% rev = $3,627M D&amp;A residual.</t>
        </r>
      </text>
    </comment>
    <comment ref="F67" authorId="0" shapeId="0" xr:uid="{EC51FFFD-8A61-C043-850D-4EAE3DD10091}">
      <text>
        <r>
          <rPr>
            <b/>
            <sz val="10"/>
            <color rgb="FF000000"/>
            <rFont val="Tahoma"/>
            <family val="2"/>
          </rPr>
          <t>PLACEHOLDER. FY23 D&amp;A back-solved: $7,326M total addbacks - $4,012M (restr $237 + impair $3,775) - $727M SBC at 7% rev = $2,587M D&amp;A residual.</t>
        </r>
      </text>
    </comment>
    <comment ref="D68" authorId="0" shapeId="0" xr:uid="{3F7D9956-E0FD-9A47-A2C0-0DDCEFB44F73}">
      <text>
        <r>
          <rPr>
            <b/>
            <sz val="10"/>
            <color rgb="FF000000"/>
            <rFont val="Tahoma"/>
            <family val="2"/>
          </rPr>
          <t>PLACEHOLDER. SBC not separately disclosed in markdown summary. Estimated at 7% of revenue (typical large-cap tech). Refine when full S-1 parsed.</t>
        </r>
      </text>
    </comment>
    <comment ref="E68" authorId="0" shapeId="0" xr:uid="{D791BA86-7C40-1548-A899-9F96ACA816D7}">
      <text>
        <r>
          <rPr>
            <b/>
            <sz val="10"/>
            <color rgb="FF000000"/>
            <rFont val="Tahoma"/>
            <family val="2"/>
          </rPr>
          <t>PLACEHOLDER. FY24 SBC ~7% of revenue = $981M.</t>
        </r>
      </text>
    </comment>
    <comment ref="F68" authorId="0" shapeId="0" xr:uid="{8C362110-97DB-374A-906A-3B2D2009AAE5}">
      <text>
        <r>
          <rPr>
            <b/>
            <sz val="10"/>
            <color rgb="FF000000"/>
            <rFont val="Tahoma"/>
            <family val="2"/>
          </rPr>
          <t>PLACEHOLDER. FY23 SBC ~7% of revenue = $727M.</t>
        </r>
      </text>
    </comment>
    <comment ref="D69" authorId="0" shapeId="0" xr:uid="{4466503B-337F-7A4B-AC4A-48290AFB6C9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Detail line not separately disclosed.</t>
        </r>
      </text>
    </comment>
    <comment ref="D77" authorId="0" shapeId="0" xr:uid="{D1FF03E9-8FA7-C449-94BD-DD8D449D577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§10 notes. FY25 deferred revenue inc = 1,153.</t>
        </r>
      </text>
    </comment>
    <comment ref="D80" authorId="0" shapeId="0" xr:uid="{230BF7B8-B06C-5B4C-8FBF-7565F256EB2D}">
      <text>
        <r>
          <rPr>
            <b/>
            <sz val="10"/>
            <color rgb="FF000000"/>
            <rFont val="Tahoma"/>
            <family val="2"/>
          </rPr>
          <t>Source: SpaceX S-1, §9. FY25 capex = (20,737). Sum of Space 3,832 + Conn 4,178 + AI 12,727.</t>
        </r>
      </text>
    </comment>
    <comment ref="E80" authorId="0" shapeId="0" xr:uid="{7ACB1BF8-0904-DF4E-8268-3D03E9798DDD}">
      <text>
        <r>
          <rPr>
            <b/>
            <sz val="10"/>
            <color rgb="FF000000"/>
            <rFont val="Tahoma"/>
            <family val="2"/>
          </rPr>
          <t>Source: SpaceX S-1, §9. FY24 capex = (11,163).</t>
        </r>
      </text>
    </comment>
    <comment ref="F80" authorId="0" shapeId="0" xr:uid="{824E4AF0-52B3-1248-A47D-1DDE4EBFD5D8}">
      <text>
        <r>
          <rPr>
            <b/>
            <sz val="10"/>
            <color rgb="FF000000"/>
            <rFont val="Tahoma"/>
            <family val="2"/>
          </rPr>
          <t>Source: SpaceX S-1, §9. FY23 capex = (4,415).</t>
        </r>
      </text>
    </comment>
    <comment ref="D81" authorId="0" shapeId="0" xr:uid="{07F33B76-A4F2-E149-AD8E-FEBBC4B1E72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Detail line not disclosed.</t>
        </r>
      </text>
    </comment>
    <comment ref="D83" authorId="0" shapeId="0" xr:uid="{5BF1972A-56E1-1A4D-937E-B172BF64ECC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§10 notes. FY25 higher debt and other financing for AI = 16,055.</t>
        </r>
      </text>
    </comment>
    <comment ref="D84" authorId="0" shapeId="0" xr:uid="{361E6DBC-DBD3-614C-81DC-9DA89F2CB2A4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§10 notes. FY25 debt repayments = (6,781).</t>
        </r>
      </text>
    </comment>
    <comment ref="D86" authorId="0" shapeId="0" xr:uid="{6EADC63C-E48B-6644-AD8C-4B7AFCFD9E5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§10 notes. FY25 capital stock sale proceeds = 5,706.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C4" authorId="0" shapeId="0" xr:uid="{22EBF228-BF2E-DA4C-AFCF-ECCFC7EF9A04}">
      <text>
        <r>
          <rPr>
            <b/>
            <sz val="10"/>
            <color rgb="FF000000"/>
            <rFont val="Tahoma"/>
            <family val="2"/>
          </rPr>
          <t>Revenue growth FY25/FY24 - 1.</t>
        </r>
      </text>
    </comment>
    <comment ref="D4" authorId="0" shapeId="0" xr:uid="{97A499A6-55EF-B848-ADD5-A01EACBFC640}">
      <text>
        <r>
          <rPr>
            <b/>
            <sz val="10"/>
            <color rgb="FF000000"/>
            <rFont val="Tahoma"/>
            <family val="2"/>
          </rPr>
          <t>Revenue growth FY24/FY23 - 1.</t>
        </r>
      </text>
    </comment>
    <comment ref="E4" authorId="0" shapeId="0" xr:uid="{F26C8AE8-03F6-1F44-9884-961376429E97}">
      <text>
        <r>
          <rPr>
            <b/>
            <sz val="10"/>
            <color rgb="FF000000"/>
            <rFont val="Tahoma"/>
            <family val="2"/>
          </rPr>
          <t>FY22 not in dataset.</t>
        </r>
      </text>
    </comment>
    <comment ref="C5" authorId="0" shapeId="0" xr:uid="{7A771290-AB04-6042-9263-445017EC7C0E}">
      <text>
        <r>
          <rPr>
            <b/>
            <sz val="10"/>
            <color rgb="FF000000"/>
            <rFont val="Tahoma"/>
            <family val="2"/>
          </rPr>
          <t>Source: SpaceX S-1, §5. FY25 Space = 4,086.</t>
        </r>
      </text>
    </comment>
    <comment ref="D5" authorId="0" shapeId="0" xr:uid="{588D2260-C413-E346-B9E7-201E2E0A6047}">
      <text>
        <r>
          <rPr>
            <b/>
            <sz val="10"/>
            <color rgb="FF000000"/>
            <rFont val="Tahoma"/>
            <family val="2"/>
          </rPr>
          <t>Source: SpaceX S-1, §5. FY24 Space = 3,796.</t>
        </r>
      </text>
    </comment>
    <comment ref="E5" authorId="0" shapeId="0" xr:uid="{6918446E-F010-724E-AFC7-BF80706529E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§5. FY23 Space = 3,557.</t>
        </r>
      </text>
    </comment>
    <comment ref="C6" authorId="0" shapeId="0" xr:uid="{09F370B8-5F64-3341-97BB-AF09F32F44A2}">
      <text>
        <r>
          <rPr>
            <b/>
            <sz val="10"/>
            <color rgb="FF000000"/>
            <rFont val="Tahoma"/>
            <family val="2"/>
          </rPr>
          <t>Source: SpaceX S-1, §5. FY25 Connectivity = 11,387.</t>
        </r>
      </text>
    </comment>
    <comment ref="D6" authorId="0" shapeId="0" xr:uid="{8A095809-CD37-8F4E-A94F-3DAAFB2D3DCC}">
      <text>
        <r>
          <rPr>
            <b/>
            <sz val="10"/>
            <color rgb="FF000000"/>
            <rFont val="Tahoma"/>
            <family val="2"/>
          </rPr>
          <t>Source: SpaceX S-1, §5. FY24 Connectivity = 7,599.</t>
        </r>
      </text>
    </comment>
    <comment ref="E6" authorId="0" shapeId="0" xr:uid="{E2DE3048-A57D-9248-B7DE-EFA66CF9F30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§5. FY23 Connectivity = 3,869.</t>
        </r>
      </text>
    </comment>
    <comment ref="C7" authorId="0" shapeId="0" xr:uid="{65E1439C-C661-7044-90F5-F0BACB49FC75}">
      <text>
        <r>
          <rPr>
            <b/>
            <sz val="10"/>
            <color rgb="FF000000"/>
            <rFont val="Tahoma"/>
            <family val="2"/>
          </rPr>
          <t>Source: SpaceX S-1, §5. FY25 AI = 3,201.</t>
        </r>
      </text>
    </comment>
    <comment ref="D7" authorId="0" shapeId="0" xr:uid="{B858E9E7-12AB-C24C-A22F-E0A472B0D09C}">
      <text>
        <r>
          <rPr>
            <b/>
            <sz val="10"/>
            <color rgb="FF000000"/>
            <rFont val="Tahoma"/>
            <family val="2"/>
          </rPr>
          <t>Source: SpaceX S-1, §5. FY24 AI = 2,620.</t>
        </r>
      </text>
    </comment>
    <comment ref="E7" authorId="0" shapeId="0" xr:uid="{F3908334-0BFD-AF44-8DDC-246732C2B70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§5. FY23 AI = 2,961.</t>
        </r>
      </text>
    </comment>
    <comment ref="C11" authorId="0" shapeId="0" xr:uid="{C7D6045F-4ADB-4546-B073-05C6CC977AA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FY25 Adj EBITDA.</t>
        </r>
      </text>
    </comment>
    <comment ref="D11" authorId="0" shapeId="0" xr:uid="{E3CD76A2-D7CD-0246-AD73-B765F7AB02E6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FY24 Adj EBITDA.</t>
        </r>
      </text>
    </comment>
    <comment ref="E11" authorId="0" shapeId="0" xr:uid="{60732D18-1FA3-1D41-B72E-6772264ED46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§3. FY23 Adj EBITDA.</t>
        </r>
      </text>
    </comment>
    <comment ref="C15" authorId="0" shapeId="0" xr:uid="{35540D5B-78B1-C14B-AA45-A35955337BC2}">
      <text>
        <r>
          <rPr>
            <b/>
            <sz val="10"/>
            <color rgb="FF000000"/>
            <rFont val="Tahoma"/>
            <family val="2"/>
          </rPr>
          <t>Source: SpaceX S-1, §7. Year-end 2025 = 8.9M.</t>
        </r>
      </text>
    </comment>
    <comment ref="D15" authorId="0" shapeId="0" xr:uid="{B7728080-4BB0-964D-9AFC-6507E7F5915F}">
      <text>
        <r>
          <rPr>
            <b/>
            <sz val="10"/>
            <color rgb="FF000000"/>
            <rFont val="Tahoma"/>
            <family val="2"/>
          </rPr>
          <t>Source: SpaceX S-1, §7. Year-end 2024 = 4.4M.</t>
        </r>
      </text>
    </comment>
    <comment ref="E15" authorId="0" shapeId="0" xr:uid="{56FEC1EF-E5D9-7D4C-8B8A-9061FD9A7E4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§7. Year-end 2023 = 2.3M.</t>
        </r>
      </text>
    </comment>
    <comment ref="C16" authorId="0" shapeId="0" xr:uid="{CBF65A9B-023B-1046-950D-BEF6CE97D667}">
      <text>
        <r>
          <rPr>
            <b/>
            <sz val="10"/>
            <color rgb="FF000000"/>
            <rFont val="Tahoma"/>
            <family val="2"/>
          </rPr>
          <t>Source: SpaceX S-1, §7. FY25 ARPU = $81.</t>
        </r>
      </text>
    </comment>
    <comment ref="D16" authorId="0" shapeId="0" xr:uid="{152EDA86-4698-1F4A-B17F-7DB34AEDFB84}">
      <text>
        <r>
          <rPr>
            <b/>
            <sz val="10"/>
            <color rgb="FF000000"/>
            <rFont val="Tahoma"/>
            <family val="2"/>
          </rPr>
          <t>Source: SpaceX S-1, §7. FY24 ARPU = $91.</t>
        </r>
      </text>
    </comment>
    <comment ref="E16" authorId="0" shapeId="0" xr:uid="{52274D3E-96D4-8E47-B052-2455586D310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§7. FY23 ARPU = $99.</t>
        </r>
      </text>
    </comment>
    <comment ref="C17" authorId="0" shapeId="0" xr:uid="{C5D4077D-605C-9A46-83E3-A3C5C16EC932}">
      <text>
        <r>
          <rPr>
            <b/>
            <sz val="10"/>
            <color rgb="FF000000"/>
            <rFont val="Tahoma"/>
            <family val="2"/>
          </rPr>
          <t>Source: SpaceX S-1, §7. Approx 9,600 as of Mar 31 2026 (latest disclosed).</t>
        </r>
      </text>
    </comment>
    <comment ref="D17" authorId="0" shapeId="0" xr:uid="{748BE26D-1FD5-A546-81E6-52ACEE8AFB6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FY24 year-end count not disclosed in summary.</t>
        </r>
      </text>
    </comment>
    <comment ref="E17" authorId="0" shapeId="0" xr:uid="{8E3D1658-4620-214A-A391-44710266F147}">
      <text>
        <r>
          <rPr>
            <b/>
            <sz val="10"/>
            <color rgb="FF000000"/>
            <rFont val="Tahoma"/>
            <family val="2"/>
          </rPr>
          <t>FY23 satellite count not disclosed in S-1 summary.</t>
        </r>
      </text>
    </comment>
    <comment ref="C18" authorId="0" shapeId="0" xr:uid="{4F34986A-8673-DC4C-B334-38577522C8D5}">
      <text>
        <r>
          <rPr>
            <b/>
            <sz val="10"/>
            <color rgb="FF000000"/>
            <rFont val="Tahoma"/>
            <family val="2"/>
          </rPr>
          <t>Source: SpaceX S-1, §7. 164 countries as of Mar 31 2026 (latest disclosed).</t>
        </r>
      </text>
    </comment>
    <comment ref="D18" authorId="0" shapeId="0" xr:uid="{EC74A058-9867-5646-BC3D-AEE1AD2CA54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FY24 not disclosed in summary.</t>
        </r>
      </text>
    </comment>
    <comment ref="E18" authorId="0" shapeId="0" xr:uid="{DE46B16E-7365-9D45-8877-08D63EF361C2}">
      <text>
        <r>
          <rPr>
            <b/>
            <sz val="10"/>
            <color rgb="FF000000"/>
            <rFont val="Tahoma"/>
            <family val="2"/>
          </rPr>
          <t>FY23 country count not disclosed in S-1 summary.</t>
        </r>
      </text>
    </comment>
    <comment ref="C19" authorId="0" shapeId="0" xr:uid="{C69F6A9B-FF21-F848-9D63-59E06954F12A}">
      <text>
        <r>
          <rPr>
            <b/>
            <sz val="10"/>
            <color rgb="FF000000"/>
            <rFont val="Tahoma"/>
            <family val="2"/>
          </rPr>
          <t>Source: SpaceX S-1, §6. FY25 = 2,213 MT.</t>
        </r>
      </text>
    </comment>
    <comment ref="D19" authorId="0" shapeId="0" xr:uid="{E2B094F6-6DF4-D24C-A08D-F0CCE8C9AF75}">
      <text>
        <r>
          <rPr>
            <b/>
            <sz val="10"/>
            <color rgb="FF000000"/>
            <rFont val="Tahoma"/>
            <family val="2"/>
          </rPr>
          <t>Source: SpaceX S-1, §6. FY24 = 1,699 MT.</t>
        </r>
      </text>
    </comment>
    <comment ref="E19" authorId="0" shapeId="0" xr:uid="{72FE83E7-ECF2-1040-A0CC-3CBBC1FF9D5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6. FY23 = 1,210 MT.</t>
        </r>
      </text>
    </comment>
    <comment ref="C20" authorId="0" shapeId="0" xr:uid="{80163250-FE2F-5146-A8ED-634A9E664F5D}">
      <text>
        <r>
          <rPr>
            <b/>
            <sz val="10"/>
            <color rgb="FF000000"/>
            <rFont val="Tahoma"/>
            <family val="2"/>
          </rPr>
          <t>Source: SpaceX S-1, §6. FY25 = 170 launches.</t>
        </r>
      </text>
    </comment>
    <comment ref="D20" authorId="0" shapeId="0" xr:uid="{9B48072F-3D0C-4949-9476-41D24D7ED3FC}">
      <text>
        <r>
          <rPr>
            <b/>
            <sz val="10"/>
            <color rgb="FF000000"/>
            <rFont val="Tahoma"/>
            <family val="2"/>
          </rPr>
          <t>Source: SpaceX S-1, §6. FY24 = 138 launches.</t>
        </r>
      </text>
    </comment>
    <comment ref="E20" authorId="0" shapeId="0" xr:uid="{2D890611-BF0E-9141-AF7F-FF24770EF27D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§6. FY23 = 98 launches.</t>
        </r>
      </text>
    </comment>
    <comment ref="C21" authorId="0" shapeId="0" xr:uid="{66C02848-92B4-314E-90AF-75210D081A6B}">
      <text>
        <r>
          <rPr>
            <b/>
            <sz val="10"/>
            <color rgb="FF000000"/>
            <rFont val="Tahoma"/>
            <family val="2"/>
          </rPr>
          <t>Source: SpaceX S-1, §6. FY25 customer = 43.</t>
        </r>
      </text>
    </comment>
    <comment ref="D21" authorId="0" shapeId="0" xr:uid="{727094A4-29CE-9148-AB60-356E9E557DD2}">
      <text>
        <r>
          <rPr>
            <b/>
            <sz val="10"/>
            <color rgb="FF000000"/>
            <rFont val="Tahoma"/>
            <family val="2"/>
          </rPr>
          <t>Source: SpaceX S-1, §6. FY24 customer = 45.</t>
        </r>
      </text>
    </comment>
    <comment ref="E21" authorId="0" shapeId="0" xr:uid="{DB5E9128-DCB5-3248-BD95-F2DB3A250768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§6. FY23 customer = 33.</t>
        </r>
      </text>
    </comment>
    <comment ref="C22" authorId="0" shapeId="0" xr:uid="{F47DB443-8CF3-C74F-BB71-81B44891004F}">
      <text>
        <r>
          <rPr>
            <b/>
            <sz val="10"/>
            <color rgb="FF000000"/>
            <rFont val="Tahoma"/>
            <family val="2"/>
          </rPr>
          <t>Source: SpaceX S-1, §6. FY25 internal = 122.</t>
        </r>
      </text>
    </comment>
    <comment ref="D22" authorId="0" shapeId="0" xr:uid="{B9F26CE5-3E04-3D46-BEA0-943739A78B1D}">
      <text>
        <r>
          <rPr>
            <b/>
            <sz val="10"/>
            <color rgb="FF000000"/>
            <rFont val="Tahoma"/>
            <family val="2"/>
          </rPr>
          <t>Source: SpaceX S-1, §6. FY24 internal = 89.</t>
        </r>
      </text>
    </comment>
    <comment ref="E22" authorId="0" shapeId="0" xr:uid="{19C825E5-FF20-8742-AB09-A688B32CDFD5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§6. FY23 internal = 63.</t>
        </r>
      </text>
    </comment>
    <comment ref="C23" authorId="0" shapeId="0" xr:uid="{FEFF8064-514C-6C41-835B-70692D7D26E7}">
      <text>
        <r>
          <rPr>
            <b/>
            <sz val="10"/>
            <color rgb="FF000000"/>
            <rFont val="Tahoma"/>
            <family val="2"/>
          </rPr>
          <t>Source: SpaceX S-1, §8. Year-end 2025 = 0.8 GW.</t>
        </r>
      </text>
    </comment>
    <comment ref="D23" authorId="0" shapeId="0" xr:uid="{3D53D2F0-1F82-4441-8F62-8763AE8FACB0}">
      <text>
        <r>
          <rPr>
            <b/>
            <sz val="10"/>
            <color rgb="FF000000"/>
            <rFont val="Tahoma"/>
            <family val="2"/>
          </rPr>
          <t>Source: SpaceX S-1, §8. Year-end 2024 = 0.3 GW.</t>
        </r>
      </text>
    </comment>
    <comment ref="E23" authorId="0" shapeId="0" xr:uid="{06BED0B9-C07D-2F4C-A828-73C30934E10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§8. Year-end 2023 = 0.0 GW.</t>
        </r>
      </text>
    </comment>
    <comment ref="C24" authorId="0" shapeId="0" xr:uid="{939E5B6E-8BFE-554E-8AEA-7C358B518D66}">
      <text>
        <r>
          <rPr>
            <b/>
            <sz val="10"/>
            <color rgb="FF000000"/>
            <rFont val="Tahoma"/>
            <family val="2"/>
          </rPr>
          <t>Source: SpaceX S-1, §8. MAUs ~520M as of Dec 31 2025.</t>
        </r>
      </text>
    </comment>
    <comment ref="D24" authorId="0" shapeId="0" xr:uid="{7C7418A8-4F9F-E24A-94AC-91159E58901E}">
      <text>
        <r>
          <rPr>
            <b/>
            <sz val="10"/>
            <color rgb="FF000000"/>
            <rFont val="Tahoma"/>
            <family val="2"/>
          </rPr>
          <t>FY24 MAUs not disclosed in S-1 summary.</t>
        </r>
      </text>
    </comment>
    <comment ref="E24" authorId="0" shapeId="0" xr:uid="{5462EC94-9290-0C48-A54C-EC416FB96FC7}">
      <text>
        <r>
          <rPr>
            <b/>
            <sz val="10"/>
            <color rgb="FF000000"/>
            <rFont val="Tahoma"/>
            <family val="2"/>
          </rPr>
          <t>FY23 MAUs not disclosed.</t>
        </r>
      </text>
    </comment>
    <comment ref="C25" authorId="0" shapeId="0" xr:uid="{0028AF82-A44F-D640-BF58-B332AD5B03C8}">
      <text>
        <r>
          <rPr>
            <b/>
            <sz val="10"/>
            <color rgb="FF000000"/>
            <rFont val="Tahoma"/>
            <family val="2"/>
          </rPr>
          <t>Year-end 2025 active paid subs not disclosed. Mar 31 2026 disclosed at 6.3M.</t>
        </r>
      </text>
    </comment>
    <comment ref="D25" authorId="0" shapeId="0" xr:uid="{20D944F3-00B2-5646-B84D-E6C4EAEF1481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FY24 not disclosed.</t>
        </r>
      </text>
    </comment>
    <comment ref="E25" authorId="0" shapeId="0" xr:uid="{DE921A93-BBEE-CC47-8678-18E51983FAAF}">
      <text>
        <r>
          <rPr>
            <b/>
            <sz val="10"/>
            <color rgb="FF000000"/>
            <rFont val="Tahoma"/>
            <family val="2"/>
          </rPr>
          <t>FY23 paid subs not disclosed.</t>
        </r>
      </text>
    </comment>
    <comment ref="C26" authorId="0" shapeId="0" xr:uid="{AC7B4763-03CE-1246-AFED-EE4A13675A3A}">
      <text>
        <r>
          <rPr>
            <b/>
            <sz val="10"/>
            <color rgb="FF000000"/>
            <rFont val="Tahoma"/>
            <family val="2"/>
          </rPr>
          <t>Source: SpaceX S-1, §9. FY25 = 20,737.</t>
        </r>
      </text>
    </comment>
    <comment ref="D26" authorId="0" shapeId="0" xr:uid="{D9463348-AF81-6442-A5BB-9D219F940D6E}">
      <text>
        <r>
          <rPr>
            <b/>
            <sz val="10"/>
            <color rgb="FF000000"/>
            <rFont val="Tahoma"/>
            <family val="2"/>
          </rPr>
          <t xml:space="preserve">Source: SpaceX S-1, </t>
        </r>
        <r>
          <rPr>
            <b/>
            <sz val="10"/>
            <color rgb="FF000000"/>
            <rFont val="Tahoma"/>
            <family val="2"/>
          </rPr>
          <t>§</t>
        </r>
        <r>
          <rPr>
            <b/>
            <sz val="10"/>
            <color rgb="FF000000"/>
            <rFont val="Tahoma"/>
            <family val="2"/>
          </rPr>
          <t>9. FY24 = 11,163.</t>
        </r>
      </text>
    </comment>
    <comment ref="E26" authorId="0" shapeId="0" xr:uid="{B6BECA2E-C943-474D-A729-071C20AD748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§9. FY23 = 4,415.</t>
        </r>
      </text>
    </comment>
    <comment ref="C27" authorId="0" shapeId="0" xr:uid="{FB1F30A6-1ABA-0D4A-BBEE-622827FD158E}">
      <text>
        <r>
          <rPr>
            <b/>
            <sz val="10"/>
            <color rgb="FF000000"/>
            <rFont val="Tahoma"/>
            <family val="2"/>
          </rPr>
          <t>Source: SpaceX S-1, §9. FY25 Space capex.</t>
        </r>
      </text>
    </comment>
    <comment ref="D27" authorId="0" shapeId="0" xr:uid="{4188E5B9-F18A-2149-9D94-741BE8A4B79F}">
      <text>
        <r>
          <rPr>
            <b/>
            <sz val="10"/>
            <color rgb="FF000000"/>
            <rFont val="Tahoma"/>
            <family val="2"/>
          </rPr>
          <t>Source: SpaceX S-1, §9. FY24 Space capex.</t>
        </r>
      </text>
    </comment>
    <comment ref="E27" authorId="0" shapeId="0" xr:uid="{B1028B0D-8492-0443-BC42-75B7CD82C55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§9. FY23 Space capex.</t>
        </r>
      </text>
    </comment>
    <comment ref="C28" authorId="0" shapeId="0" xr:uid="{C62EB490-B7AB-4944-90D3-E6CA36A4957C}">
      <text>
        <r>
          <rPr>
            <b/>
            <sz val="10"/>
            <color rgb="FF000000"/>
            <rFont val="Tahoma"/>
            <family val="2"/>
          </rPr>
          <t>Source: SpaceX S-1, §9. FY25 Connectivity capex.</t>
        </r>
      </text>
    </comment>
    <comment ref="D28" authorId="0" shapeId="0" xr:uid="{2F56DE05-9BE7-7744-9579-185FA7AF02B4}">
      <text>
        <r>
          <rPr>
            <b/>
            <sz val="10"/>
            <color rgb="FF000000"/>
            <rFont val="Tahoma"/>
            <family val="2"/>
          </rPr>
          <t xml:space="preserve">Source: SpaceX S-1, </t>
        </r>
        <r>
          <rPr>
            <b/>
            <sz val="10"/>
            <color rgb="FF000000"/>
            <rFont val="Tahoma"/>
            <family val="2"/>
          </rPr>
          <t>§</t>
        </r>
        <r>
          <rPr>
            <b/>
            <sz val="10"/>
            <color rgb="FF000000"/>
            <rFont val="Tahoma"/>
            <family val="2"/>
          </rPr>
          <t>9. FY24 Connectivity capex.</t>
        </r>
      </text>
    </comment>
    <comment ref="E28" authorId="0" shapeId="0" xr:uid="{70B88392-A649-DF49-B5F9-26AB4ACA2B0E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9. FY23 Connectivity capex.</t>
        </r>
      </text>
    </comment>
    <comment ref="C29" authorId="0" shapeId="0" xr:uid="{300FC2C3-F884-0544-A453-5392B05031A2}">
      <text>
        <r>
          <rPr>
            <b/>
            <sz val="10"/>
            <color rgb="FF000000"/>
            <rFont val="Tahoma"/>
            <family val="2"/>
          </rPr>
          <t>Source: SpaceX S-1, §9. FY25 AI capex.</t>
        </r>
      </text>
    </comment>
    <comment ref="D29" authorId="0" shapeId="0" xr:uid="{A6C17093-15C5-2544-8DF5-8F20E8A3D7A0}">
      <text>
        <r>
          <rPr>
            <b/>
            <sz val="10"/>
            <color rgb="FF000000"/>
            <rFont val="Tahoma"/>
            <family val="2"/>
          </rPr>
          <t>Source: SpaceX S-1, §9. FY24 AI capex.</t>
        </r>
      </text>
    </comment>
    <comment ref="E29" authorId="0" shapeId="0" xr:uid="{3B757905-54F8-FC4B-832D-859801A795F2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Source: SpaceX S-1, </t>
        </r>
        <r>
          <rPr>
            <sz val="10"/>
            <color rgb="FF000000"/>
            <rFont val="Tahoma"/>
            <family val="2"/>
          </rPr>
          <t>§</t>
        </r>
        <r>
          <rPr>
            <sz val="10"/>
            <color rgb="FF000000"/>
            <rFont val="Tahoma"/>
            <family val="2"/>
          </rPr>
          <t>9. FY23 AI capex.</t>
        </r>
      </text>
    </comment>
    <comment ref="C32" authorId="0" shapeId="0" xr:uid="{C409B073-7602-A44E-A30A-55297E8E434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§11. Dec 31 2025 cash + mkt sec = 24,747 + 0.</t>
        </r>
      </text>
    </comment>
    <comment ref="D32" authorId="0" shapeId="0" xr:uid="{3484F204-BECE-6E44-8CAC-F70461D9694B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§11. Dec 31 2024 = 11,385 cash + 800 mkt sec.</t>
        </r>
      </text>
    </comment>
    <comment ref="E32" authorId="0" shapeId="0" xr:uid="{176268BD-C6A1-EC41-84DA-65AA02F1AF57}">
      <text>
        <r>
          <rPr>
            <b/>
            <sz val="10"/>
            <color rgb="FF000000"/>
            <rFont val="Tahoma"/>
            <family val="2"/>
          </rPr>
          <t>FY23 balance sheet not disclosed in S-1 summary.</t>
        </r>
      </text>
    </comment>
    <comment ref="C33" authorId="0" shapeId="0" xr:uid="{E261926E-A4DD-1745-B19B-0CED901D1CC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§11. Dec 31 2025 debt current 928 + LT 21,968.</t>
        </r>
      </text>
    </comment>
    <comment ref="D33" authorId="0" shapeId="0" xr:uid="{AA6FA06B-5017-2347-BED2-077BB68BC2F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§11. Dec 31 2024 debt current 372 + LT 13,421.</t>
        </r>
      </text>
    </comment>
    <comment ref="E33" authorId="0" shapeId="0" xr:uid="{6FB2F057-CE7D-FF40-9B1E-B825EDC1A573}">
      <text>
        <r>
          <rPr>
            <b/>
            <sz val="10"/>
            <color rgb="FF000000"/>
            <rFont val="Tahoma"/>
            <family val="2"/>
          </rPr>
          <t>FY23 BS not disclosed.</t>
        </r>
      </text>
    </comment>
    <comment ref="C35" authorId="0" shapeId="0" xr:uid="{6FF93807-5126-3543-A277-F627625B470F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§12. Dec 31 2025 deferred rev = 12,116.</t>
        </r>
      </text>
    </comment>
    <comment ref="D35" authorId="0" shapeId="0" xr:uid="{5E703718-F979-624D-84F7-36A0553E13B7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Source: SpaceX S-1, §12. Dec 31 2024 deferred rev = 10,179.</t>
        </r>
      </text>
    </comment>
    <comment ref="E35" authorId="0" shapeId="0" xr:uid="{4AC1C95D-4F40-284D-B042-ABB453B83488}">
      <text>
        <r>
          <rPr>
            <b/>
            <sz val="10"/>
            <color rgb="FF000000"/>
            <rFont val="Tahoma"/>
            <family val="2"/>
          </rPr>
          <t>FY23 deferred revenue not disclosed.</t>
        </r>
      </text>
    </comment>
    <comment ref="C36" authorId="0" shapeId="0" xr:uid="{DB733E42-B821-DC49-92B8-97F4C96DF746}">
      <text>
        <r>
          <rPr>
            <b/>
            <sz val="10"/>
            <color rgb="FF000000"/>
            <rFont val="Tahoma"/>
            <family val="2"/>
          </rPr>
          <t>Source: SpaceX S-1, §12. Dec 31 2025 backlog = 28,377.</t>
        </r>
      </text>
    </comment>
    <comment ref="D36" authorId="0" shapeId="0" xr:uid="{F2F10ACE-CE82-9F49-BCD9-B32D1E9851B5}">
      <text>
        <r>
          <rPr>
            <b/>
            <sz val="10"/>
            <color rgb="FF000000"/>
            <rFont val="Tahoma"/>
            <family val="2"/>
          </rPr>
          <t>Dec 31 2024 backlog not disclosed in S-1 summary.</t>
        </r>
      </text>
    </comment>
    <comment ref="E36" authorId="0" shapeId="0" xr:uid="{810F2436-6310-AB4E-BDCF-DAB332248510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FY23 backlog not disclosed.</t>
        </r>
      </text>
    </comment>
    <comment ref="C37" authorId="0" shapeId="0" xr:uid="{3BFF73F1-3554-F141-93B3-21409C9C5329}">
      <text>
        <r>
          <rPr>
            <b/>
            <sz val="10"/>
            <color rgb="FF000000"/>
            <rFont val="Tahoma"/>
            <family val="2"/>
          </rPr>
          <t>Source: SpaceX S-1, §13. Bridge Loan outstanding as of Apr 30 2026 = $20B.</t>
        </r>
      </text>
    </comment>
    <comment ref="D37" authorId="0" shapeId="0" xr:uid="{6CECFC0A-A13A-5C4A-AEE2-F9C417C64E5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Did not exist FY24.</t>
        </r>
      </text>
    </comment>
    <comment ref="E37" authorId="0" shapeId="0" xr:uid="{409B5322-39AB-F745-9D5C-B9F5CBAE3079}">
      <text>
        <r>
          <rPr>
            <b/>
            <sz val="10"/>
            <color rgb="FF000000"/>
            <rFont val="Tahoma"/>
            <family val="2"/>
          </rPr>
          <t>Bridge Loan did not exist FY23.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 Kubin</author>
  </authors>
  <commentList>
    <comment ref="C6" authorId="0" shapeId="0" xr:uid="{445B3BF8-81A0-C240-BABC-6E17A776DB4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Returns 0 (OK) when D7/D8 are blank — SpaceX doesn't disclose COGS by Products/Services.</t>
        </r>
      </text>
    </comment>
    <comment ref="C10" authorId="0" shapeId="0" xr:uid="{0ED90683-4ACB-F647-AE3A-BA097B5F9B2C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Total opex (R&amp;D + SG&amp;A + Restr + Impair) should equal GP - Op income.</t>
        </r>
      </text>
    </comment>
    <comment ref="C12" authorId="0" shapeId="0" xr:uid="{27A8D332-D5DA-D243-B471-AF898B35613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GP - all opex - Op loss should = 0.</t>
        </r>
      </text>
    </comment>
    <comment ref="C14" authorId="0" shapeId="0" xr:uid="{DB7D8A79-4D92-B94F-92C5-EC29EFFD4693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Pretax - Tax - Net should = 0.</t>
        </r>
      </text>
    </comment>
    <comment ref="E28" authorId="0" shapeId="0" xr:uid="{E333442C-47DA-0341-9ED9-54D7C3462869}">
      <text>
        <r>
          <rPr>
            <b/>
            <sz val="10"/>
            <color rgb="FF000000"/>
            <rFont val="Tahoma"/>
            <family val="2"/>
          </rPr>
          <t>Jared Kubin:</t>
        </r>
        <r>
          <rPr>
            <sz val="10"/>
            <color rgb="FF000000"/>
            <rFont val="Tahoma"/>
            <family val="2"/>
          </rPr>
          <t xml:space="preserve">
Range widened to reflect $100B IPO raise sized via 800M primary shares.</t>
        </r>
      </text>
    </comment>
  </commentList>
</comments>
</file>

<file path=xl/sharedStrings.xml><?xml version="1.0" encoding="utf-8"?>
<sst xmlns="http://schemas.openxmlformats.org/spreadsheetml/2006/main" count="1240" uniqueCount="708">
  <si>
    <t>*THIS SHEET IS FOR EDUCATION AND INFORMATIONAL PURPOSES ONLY -&gt; ASSUME THERE ARE ERRORS -&gt; NOT AN ENDORSEMENT TO BUY OR SELL SECURITIES DO YOUR OWN WORK</t>
  </si>
  <si>
    <t>*BY OPENING THIS SHEET YOU AGREE THIS IS FOR INFORMATIONAL PURPOSES AND NOTHING IN HERE IS ADVICE</t>
  </si>
  <si>
    <t>**DRAFT SUBJECT TO CHANGE</t>
  </si>
  <si>
    <t>SECTION 1: IPO OFFERING DETAILS &amp; VALUATION</t>
  </si>
  <si>
    <t>($ in thousands, except per share and share data)</t>
  </si>
  <si>
    <t>Assumptions</t>
  </si>
  <si>
    <t>Implied Valuation</t>
  </si>
  <si>
    <t>Offering Details</t>
  </si>
  <si>
    <t xml:space="preserve">  Primary shares offered</t>
  </si>
  <si>
    <t xml:space="preserve">  Greenshoe (15% over-allotment)</t>
  </si>
  <si>
    <t xml:space="preserve">  Total shares offered (incl. greenshoe)</t>
  </si>
  <si>
    <t>Price Range</t>
  </si>
  <si>
    <t xml:space="preserve">  Low</t>
  </si>
  <si>
    <t xml:space="preserve">  Midpoint</t>
  </si>
  <si>
    <t xml:space="preserve">  High</t>
  </si>
  <si>
    <t>Gross Proceeds (at midpoint)</t>
  </si>
  <si>
    <t xml:space="preserve">  Primary offering</t>
  </si>
  <si>
    <t xml:space="preserve">  Incl. greenshoe</t>
  </si>
  <si>
    <t>Share Count Summary</t>
  </si>
  <si>
    <t>Shares</t>
  </si>
  <si>
    <t xml:space="preserve">  Pre-IPO shares (Class A + B + N)</t>
  </si>
  <si>
    <t xml:space="preserve">  (+) Primary IPO shares</t>
  </si>
  <si>
    <t xml:space="preserve">  (+) Greenshoe shares</t>
  </si>
  <si>
    <t xml:space="preserve">  Basic shares post-IPO (excl. greenshoe)</t>
  </si>
  <si>
    <t xml:space="preserve">  Basic shares post-IPO (incl. greenshoe)</t>
  </si>
  <si>
    <t xml:space="preserve">  (+) Stock options outstanding</t>
  </si>
  <si>
    <t xml:space="preserve">  (+) RSUs outstanding</t>
  </si>
  <si>
    <t xml:space="preserve">  Fully diluted shares post-IPO</t>
  </si>
  <si>
    <t>Implied Valuation (at midpoint price)</t>
  </si>
  <si>
    <t>Basic</t>
  </si>
  <si>
    <t>Fully Diluted</t>
  </si>
  <si>
    <t xml:space="preserve">  Implied market capitalization</t>
  </si>
  <si>
    <t xml:space="preserve">  Implied enterprise value (EV)</t>
  </si>
  <si>
    <t>SECTION 2: HISTORICAL INCOME STATEMENT (GAAP)</t>
  </si>
  <si>
    <t>($ in thousands)</t>
  </si>
  <si>
    <t>FY 2024</t>
  </si>
  <si>
    <t>FY 2025</t>
  </si>
  <si>
    <t>FY 2026E</t>
  </si>
  <si>
    <t>FY 2027E</t>
  </si>
  <si>
    <t>FY 2028E</t>
  </si>
  <si>
    <t>FY 2029E</t>
  </si>
  <si>
    <t xml:space="preserve">    % of total revenue</t>
  </si>
  <si>
    <t xml:space="preserve">    YoY growth</t>
  </si>
  <si>
    <t>n.a.</t>
  </si>
  <si>
    <t>Total Revenue</t>
  </si>
  <si>
    <t xml:space="preserve">    Operating margin</t>
  </si>
  <si>
    <t xml:space="preserve">    EBITDA margin</t>
  </si>
  <si>
    <t>Other income (expense), net</t>
  </si>
  <si>
    <t xml:space="preserve">    Net margin</t>
  </si>
  <si>
    <t>SECTION 3: CASH FLOW SUMMARY</t>
  </si>
  <si>
    <t>Operating Cash Flow (OCF)</t>
  </si>
  <si>
    <t xml:space="preserve">  Capital expenditures</t>
  </si>
  <si>
    <t>Free Cash Flow (FCF)</t>
  </si>
  <si>
    <t xml:space="preserve">  FCF margin</t>
  </si>
  <si>
    <t>Key CF Addbacks / Adjustments</t>
  </si>
  <si>
    <t xml:space="preserve">  Depreciation &amp; amortization</t>
  </si>
  <si>
    <t xml:space="preserve">  Stock-based compensation</t>
  </si>
  <si>
    <t xml:space="preserve">  FV change / extinguishment of fwd contract</t>
  </si>
  <si>
    <t xml:space="preserve">  Net working capital change (excl. deposits)</t>
  </si>
  <si>
    <t xml:space="preserve">  Customer deposits change</t>
  </si>
  <si>
    <t>Investing Cash Flow</t>
  </si>
  <si>
    <t>Financing Cash Flow</t>
  </si>
  <si>
    <t>Cash, equivalents &amp; restricted cash (ending)</t>
  </si>
  <si>
    <t>Investments</t>
  </si>
  <si>
    <t>Total Liquidity</t>
  </si>
  <si>
    <t>SECTION 4: KEY OPERATING METRICS</t>
  </si>
  <si>
    <t>Growth Metrics</t>
  </si>
  <si>
    <t>Profitability Metrics</t>
  </si>
  <si>
    <t xml:space="preserve">  Operating margin</t>
  </si>
  <si>
    <t xml:space="preserve">  EBITDA margin</t>
  </si>
  <si>
    <t xml:space="preserve">  Net margin</t>
  </si>
  <si>
    <t>Revenue Mix</t>
  </si>
  <si>
    <t>Backlog &amp; Liquidity</t>
  </si>
  <si>
    <t xml:space="preserve">  Remaining performance obligations (RPO)</t>
  </si>
  <si>
    <t xml:space="preserve">  Total liquidity (cash + investments)</t>
  </si>
  <si>
    <t xml:space="preserve">  CapEx as % of revenue</t>
  </si>
  <si>
    <t>SECTION 5: SCENARIO ANALYSIS — IMPLIED VALUATION</t>
  </si>
  <si>
    <t>Fully diluted shares used from Share_Count tab; IPO price scenarios across columns</t>
  </si>
  <si>
    <t>Market Cap Scenarios ($ millions)</t>
  </si>
  <si>
    <t>Basic shares (post-IPO, no greenshoe)</t>
  </si>
  <si>
    <t>Basic shares (post-IPO, full greenshoe)</t>
  </si>
  <si>
    <t>Diluted (options + RSUs + PRSUs, excl. warrants)</t>
  </si>
  <si>
    <t>Fully diluted (incl. all warrants)</t>
  </si>
  <si>
    <t>Enterprise Value Scenarios ($ millions)</t>
  </si>
  <si>
    <t>Bridge</t>
  </si>
  <si>
    <t>Basic post-IPO (excl. greenshoe)</t>
  </si>
  <si>
    <t>Basic post-IPO (incl. greenshoe)</t>
  </si>
  <si>
    <t>Diluted (excl. warrants)</t>
  </si>
  <si>
    <t>Price / Sales (Equity / Revenue, on fully diluted)</t>
  </si>
  <si>
    <t>SECTION 6: FORWARD VALUATION MULTIPLES (AT MIDPOINT PRICE)</t>
  </si>
  <si>
    <t>Midpoint IPO price and share counts from Section 1; projected financials from Section 2</t>
  </si>
  <si>
    <t>Projected Financials ($M)</t>
  </si>
  <si>
    <t xml:space="preserve">  Revenue</t>
  </si>
  <si>
    <t xml:space="preserve">  EBITDA</t>
  </si>
  <si>
    <t xml:space="preserve">  Adj. EBITDA</t>
  </si>
  <si>
    <t xml:space="preserve">  Net Income</t>
  </si>
  <si>
    <t xml:space="preserve">  Free Cash Flow</t>
  </si>
  <si>
    <t>Implied EV ($M)</t>
  </si>
  <si>
    <t xml:space="preserve">  Basic EV (post-IPO, excl. greenshoe)</t>
  </si>
  <si>
    <t xml:space="preserve">  Fully diluted EV</t>
  </si>
  <si>
    <t>EV / Revenue</t>
  </si>
  <si>
    <t xml:space="preserve">  Basic EV</t>
  </si>
  <si>
    <t>EV / EBITDA</t>
  </si>
  <si>
    <t>EV / Adj. EBITDA (ex-SBC)</t>
  </si>
  <si>
    <t>Price / Earnings (FD market cap basis)</t>
  </si>
  <si>
    <t xml:space="preserve">  FD Market Cap ($M)</t>
  </si>
  <si>
    <t xml:space="preserve">  P/E (fully diluted)</t>
  </si>
  <si>
    <t>EV / Free Cash Flow</t>
  </si>
  <si>
    <t>SECTION 7: PRICE TARGET CALCULATOR</t>
  </si>
  <si>
    <t>Input your revenue assumptions and target multiples below. Price targets calculated on fully diluted shares.</t>
  </si>
  <si>
    <t>Bear Case</t>
  </si>
  <si>
    <t>Base Case</t>
  </si>
  <si>
    <t>Bull Case</t>
  </si>
  <si>
    <t>Reference Inputs (linked)</t>
  </si>
  <si>
    <t xml:space="preserve">  IPO Price (midpoint)</t>
  </si>
  <si>
    <t xml:space="preserve">  Fully Diluted Shares</t>
  </si>
  <si>
    <t xml:space="preserve">  (+) Net Cash &amp; Investments ($B)</t>
  </si>
  <si>
    <t xml:space="preserve">  Implied Equity Value ($B)</t>
  </si>
  <si>
    <t xml:space="preserve">  Implied Price per Share (FD)</t>
  </si>
  <si>
    <t xml:space="preserve">  % Upside / (Downside) to IPO Price</t>
  </si>
  <si>
    <t>Category</t>
  </si>
  <si>
    <t>Component</t>
  </si>
  <si>
    <t>Class</t>
  </si>
  <si>
    <t>Known Shares</t>
  </si>
  <si>
    <t>Include in User-Specified Total?</t>
  </si>
  <si>
    <t>Include in Full Diluted Total?</t>
  </si>
  <si>
    <t>Status</t>
  </si>
  <si>
    <t>Source / Notes</t>
  </si>
  <si>
    <t>Existing / Old Shares</t>
  </si>
  <si>
    <t>Class B</t>
  </si>
  <si>
    <t>Y</t>
  </si>
  <si>
    <t>disclosed</t>
  </si>
  <si>
    <t>IPO Shares</t>
  </si>
  <si>
    <t>Class A</t>
  </si>
  <si>
    <t>disclosed at pricing</t>
  </si>
  <si>
    <t>Equity Awards</t>
  </si>
  <si>
    <t>Warrants</t>
  </si>
  <si>
    <t>N</t>
  </si>
  <si>
    <t>Future Issuance Reserve</t>
  </si>
  <si>
    <t>Summary</t>
  </si>
  <si>
    <t>Formula / Definition</t>
  </si>
  <si>
    <t>Notes</t>
  </si>
  <si>
    <t>Known old shares</t>
  </si>
  <si>
    <t>Actual common + preferred conversion + post-12/31 Class N issued</t>
  </si>
  <si>
    <t>Excludes unknown RSU net settlement and IPO shares</t>
  </si>
  <si>
    <t>Known user-specified diluted subtotal</t>
  </si>
  <si>
    <t>Rows marked Y in Include in User-Specified Total</t>
  </si>
  <si>
    <t>Known fully diluted subtotal incl. warrants</t>
  </si>
  <si>
    <t>Rows marked Y in Include in Full Diluted Total</t>
  </si>
  <si>
    <t>Required unknown share-count fields</t>
  </si>
  <si>
    <t>Count of required included rows with missing Known Shares</t>
  </si>
  <si>
    <t>Section</t>
  </si>
  <si>
    <t>Metric</t>
  </si>
  <si>
    <t>Units</t>
  </si>
  <si>
    <t>Income Statement</t>
  </si>
  <si>
    <t>$000</t>
  </si>
  <si>
    <t>Prospectus Summary / Summary Consolidated Financial Data.</t>
  </si>
  <si>
    <t>Total revenue</t>
  </si>
  <si>
    <t>Total cost of revenue</t>
  </si>
  <si>
    <t>Gross profit</t>
  </si>
  <si>
    <t>Research and development</t>
  </si>
  <si>
    <t>Loss from operations</t>
  </si>
  <si>
    <t>Per Share</t>
  </si>
  <si>
    <t>$/share</t>
  </si>
  <si>
    <t>000 shares</t>
  </si>
  <si>
    <t>Non-GAAP</t>
  </si>
  <si>
    <t>Prospectus Summary / Summary Consolidated Financial Data. Operating loss excluding stock-based compensation</t>
  </si>
  <si>
    <t>Prospectus Summary / Summary Consolidated Financial Data. Net income/loss excluding stock-based compensation and FV change/extinguishment of forward contract liability</t>
  </si>
  <si>
    <t>Stock-Based Compensation</t>
  </si>
  <si>
    <t>Total stock-based compensation expense</t>
  </si>
  <si>
    <t>Balance Sheet</t>
  </si>
  <si>
    <t>Cash and cash equivalents</t>
  </si>
  <si>
    <t>Consolidated Balance Sheets.</t>
  </si>
  <si>
    <t>Accounts receivable, net</t>
  </si>
  <si>
    <t>Total current assets</t>
  </si>
  <si>
    <t>Other non-current assets</t>
  </si>
  <si>
    <t>Total assets</t>
  </si>
  <si>
    <t>Accounts payable</t>
  </si>
  <si>
    <t>Deferred revenue, current</t>
  </si>
  <si>
    <t>Total current liabilities</t>
  </si>
  <si>
    <t>Other non-current liabilities</t>
  </si>
  <si>
    <t>Total liabilities</t>
  </si>
  <si>
    <t>Redeemable convertible preferred stock</t>
  </si>
  <si>
    <t>Cash Flow</t>
  </si>
  <si>
    <t>MD&amp;A Cash Flows / Cash Flow Statement.</t>
  </si>
  <si>
    <t>Net cash used in investing activities</t>
  </si>
  <si>
    <t>Net cash provided by financing activities</t>
  </si>
  <si>
    <t>Effect of exchange rate on cash</t>
  </si>
  <si>
    <t>Cash Flow Statement.</t>
  </si>
  <si>
    <t>Cash Flow Detail</t>
  </si>
  <si>
    <t>Depreciation and amortization</t>
  </si>
  <si>
    <t>Consolidated Statements of Cash Flows.</t>
  </si>
  <si>
    <t>Stock-based compensation</t>
  </si>
  <si>
    <t>Non-cash lease expense</t>
  </si>
  <si>
    <t>Provision for product warranties</t>
  </si>
  <si>
    <t>Other non-cash items</t>
  </si>
  <si>
    <t>Proceeds from exercise of stock options</t>
  </si>
  <si>
    <t>Repurchase of common stock</t>
  </si>
  <si>
    <t>Tax withheld related to RSU settlement</t>
  </si>
  <si>
    <t>Payments of deferred offering costs</t>
  </si>
  <si>
    <t>Notes / Formula</t>
  </si>
  <si>
    <t>Source</t>
  </si>
  <si>
    <t>%</t>
  </si>
  <si>
    <t>Gross margin</t>
  </si>
  <si>
    <t>Operating margin</t>
  </si>
  <si>
    <t>Net margin</t>
  </si>
  <si>
    <t>R&amp;D as % of revenue</t>
  </si>
  <si>
    <t>Check</t>
  </si>
  <si>
    <t>Formula / Basis</t>
  </si>
  <si>
    <t>Result</t>
  </si>
  <si>
    <t>Expected / Interpretation</t>
  </si>
  <si>
    <t>0</t>
  </si>
  <si>
    <t>COMPANY INFO — central inputs for this template</t>
  </si>
  <si>
    <t>Update the values in column C. All other tabs reference these.</t>
  </si>
  <si>
    <t>Identity</t>
  </si>
  <si>
    <t>Company name</t>
  </si>
  <si>
    <t>Used in the IPO_Analysis title</t>
  </si>
  <si>
    <t>Ticker</t>
  </si>
  <si>
    <t>Exchange</t>
  </si>
  <si>
    <t>Industry / sector</t>
  </si>
  <si>
    <t>Report date</t>
  </si>
  <si>
    <t>Fiscal years</t>
  </si>
  <si>
    <t>Drives all year headers on every tab</t>
  </si>
  <si>
    <t>Prior year</t>
  </si>
  <si>
    <t>Year +1 (forecast)</t>
  </si>
  <si>
    <t>Year +2 (forecast)</t>
  </si>
  <si>
    <t>Year +3 (forecast)</t>
  </si>
  <si>
    <t>Year +4 (forecast)</t>
  </si>
  <si>
    <t>Offering structure</t>
  </si>
  <si>
    <t>Underwriter / lead bookrunner</t>
  </si>
  <si>
    <t>Use of proceeds (one-liner)</t>
  </si>
  <si>
    <t>Lock-up period (days)</t>
  </si>
  <si>
    <t>Greenshoe % of base</t>
  </si>
  <si>
    <t>Used by IPO_Analysis to compute greenshoe shares</t>
  </si>
  <si>
    <t>Underwriter discount %</t>
  </si>
  <si>
    <t>Net proceeds = gross * (1 - discount)</t>
  </si>
  <si>
    <t>Color legend</t>
  </si>
  <si>
    <t>Blue</t>
  </si>
  <si>
    <t>Hardcoded inputs — change these</t>
  </si>
  <si>
    <t>Black</t>
  </si>
  <si>
    <t>Formulas — do not overwrite</t>
  </si>
  <si>
    <t>Green</t>
  </si>
  <si>
    <t>Links from another tab</t>
  </si>
  <si>
    <t>Red</t>
  </si>
  <si>
    <t>External / disclaimer / negative variance</t>
  </si>
  <si>
    <t>Annual_Financials</t>
  </si>
  <si>
    <t>Basic shares subtotal exists</t>
  </si>
  <si>
    <t>Fully diluted subtotal exists</t>
  </si>
  <si>
    <t>Share_Count!C24 (basic post-IPO incl. greenshoe)</t>
  </si>
  <si>
    <t>Share_Count!C26 (fully diluted)</t>
  </si>
  <si>
    <t>&gt; 0 once cap table is populated</t>
  </si>
  <si>
    <t>Required unknown fields</t>
  </si>
  <si>
    <t>Count of cap-table rows flagged as required but not yet populated</t>
  </si>
  <si>
    <t>0 once final S-1 is populated</t>
  </si>
  <si>
    <t>Set F-column to Y for warrants that should be additive to fully diluted; flag exercised warrants N to avoid double-count</t>
  </si>
  <si>
    <t>Common stock offered by company in IPO</t>
  </si>
  <si>
    <t>blank</t>
  </si>
  <si>
    <t>future recycling</t>
  </si>
  <si>
    <t>Excludes blanks because preliminary filing omits some counts</t>
  </si>
  <si>
    <t>These must be populated after final pricing / later filing amendment</t>
  </si>
  <si>
    <t>Space Exploration Technologies Corp. (SpaceX)</t>
  </si>
  <si>
    <t>SPCX</t>
  </si>
  <si>
    <t>NYSE</t>
  </si>
  <si>
    <t>Aerospace / Connectivity / AI</t>
  </si>
  <si>
    <t>May 20, 2026 (preliminary S-1)</t>
  </si>
  <si>
    <t>Goldman Sachs / Morgan Stanley (placeholder)</t>
  </si>
  <si>
    <t>GP&amp;E, AI/data center capex, debt repayment, working capital</t>
  </si>
  <si>
    <t>Revenue — Products (hardware)</t>
  </si>
  <si>
    <t>Revenue — Services (Connectivity services, Launch, Ads, AI)</t>
  </si>
  <si>
    <t>Cost of revenue — Products</t>
  </si>
  <si>
    <t>Cost of revenue — Services</t>
  </si>
  <si>
    <t>Selling, general &amp; administrative</t>
  </si>
  <si>
    <t>Restructuring charges</t>
  </si>
  <si>
    <t>Impairment</t>
  </si>
  <si>
    <t>Interest expense</t>
  </si>
  <si>
    <t>Interest income</t>
  </si>
  <si>
    <t>Loss before income taxes</t>
  </si>
  <si>
    <t>Provision for income taxes</t>
  </si>
  <si>
    <t>Net loss</t>
  </si>
  <si>
    <t>Net loss attributable to common shareholders</t>
  </si>
  <si>
    <t>Basic net loss per share</t>
  </si>
  <si>
    <t>Diluted net loss per share</t>
  </si>
  <si>
    <t>Weighted average shares — Basic (000s)</t>
  </si>
  <si>
    <t>Weighted average shares — Diluted (000s)</t>
  </si>
  <si>
    <t>Adjusted EBITDA</t>
  </si>
  <si>
    <t>Non-GAAP net loss (memo)</t>
  </si>
  <si>
    <t>SBC — Cost of revenue</t>
  </si>
  <si>
    <t>SBC — Research and development</t>
  </si>
  <si>
    <t>SBC — Selling, general &amp; administrative</t>
  </si>
  <si>
    <t>SBC — Restructuring/Other</t>
  </si>
  <si>
    <t>Marketable securities (short-term)</t>
  </si>
  <si>
    <t>Digital assets</t>
  </si>
  <si>
    <t>Inventory</t>
  </si>
  <si>
    <t>Prepaid and other current assets</t>
  </si>
  <si>
    <t>Property, plant &amp; equipment, net</t>
  </si>
  <si>
    <t>Finance lease right-of-use assets</t>
  </si>
  <si>
    <t>Intangible assets, net</t>
  </si>
  <si>
    <t>Goodwill</t>
  </si>
  <si>
    <t>Deferred tax assets</t>
  </si>
  <si>
    <t>Debt and finance leases, current</t>
  </si>
  <si>
    <t>Accrued expenses and other current liabilities</t>
  </si>
  <si>
    <t>Deferred revenue, non-current</t>
  </si>
  <si>
    <t>Debt and finance leases, non-current</t>
  </si>
  <si>
    <t>Total stockholders' equity</t>
  </si>
  <si>
    <t>Total liabilities, preferred &amp; equity (check)</t>
  </si>
  <si>
    <t>Net cash provided by operating activities</t>
  </si>
  <si>
    <t>Net change in cash</t>
  </si>
  <si>
    <t>Cash, beginning of period</t>
  </si>
  <si>
    <t>Cash, end of period</t>
  </si>
  <si>
    <t>Change in fair value / extinguishment</t>
  </si>
  <si>
    <t>(Inc.) / dec. in accounts receivable</t>
  </si>
  <si>
    <t>(Inc.) / dec. in inventory</t>
  </si>
  <si>
    <t>(Inc.) / dec. in prepaid &amp; other</t>
  </si>
  <si>
    <t>Inc. / (dec.) in accounts payable</t>
  </si>
  <si>
    <t>Inc. / (dec.) in deferred revenue</t>
  </si>
  <si>
    <t>Inc. / (dec.) in customer deposits</t>
  </si>
  <si>
    <t>Inc. / (dec.) in other liabilities</t>
  </si>
  <si>
    <t>Purchases of property, plant &amp; equipment (capex)</t>
  </si>
  <si>
    <t>Purchases of marketable securities</t>
  </si>
  <si>
    <t>Maturities and sales of marketable securities</t>
  </si>
  <si>
    <t>Proceeds from debt issuance / SpaceX Bridge Loan</t>
  </si>
  <si>
    <t>Repayments of debt</t>
  </si>
  <si>
    <t>Proceeds from sale of capital stock</t>
  </si>
  <si>
    <t>Repurchases of common stock (xAI merger)</t>
  </si>
  <si>
    <t>Total revenue growth</t>
  </si>
  <si>
    <t>SpaceX S-1, §3</t>
  </si>
  <si>
    <t>Space segment revenue</t>
  </si>
  <si>
    <t>Customer launches + Launch &amp; Development</t>
  </si>
  <si>
    <t>SpaceX S-1, §5</t>
  </si>
  <si>
    <t>Connectivity segment revenue</t>
  </si>
  <si>
    <t>Consumer Starlink + Enterprise/Gov + Mobile</t>
  </si>
  <si>
    <t>AI segment revenue</t>
  </si>
  <si>
    <t>Advertising + AI Solutions &amp; Infrastructure</t>
  </si>
  <si>
    <t>Gross profit / revenue</t>
  </si>
  <si>
    <t>Non-GAAP EBITDA</t>
  </si>
  <si>
    <t>SpaceX S-1, §2-3</t>
  </si>
  <si>
    <t>Adjusted EBITDA margin</t>
  </si>
  <si>
    <t>Adj EBITDA / revenue</t>
  </si>
  <si>
    <t>R&amp;D / revenue</t>
  </si>
  <si>
    <t>SG&amp;A as % of revenue</t>
  </si>
  <si>
    <t>SG&amp;A / revenue</t>
  </si>
  <si>
    <t>Starlink subscribers (millions)</t>
  </si>
  <si>
    <t>M</t>
  </si>
  <si>
    <t>Period-end Starlink subscriber count</t>
  </si>
  <si>
    <t>SpaceX S-1, §7</t>
  </si>
  <si>
    <t>Starlink monthly ARPU</t>
  </si>
  <si>
    <t>$</t>
  </si>
  <si>
    <t>Consumer monthly ARPU</t>
  </si>
  <si>
    <t>Starlink satellites in LEO</t>
  </si>
  <si>
    <t>#</t>
  </si>
  <si>
    <t>Broadband + mobile satellites in low earth orbit</t>
  </si>
  <si>
    <t>Countries / markets served</t>
  </si>
  <si>
    <t>Countries, territories, and markets</t>
  </si>
  <si>
    <t>Mass to orbit (metric tons)</t>
  </si>
  <si>
    <t>MT</t>
  </si>
  <si>
    <t>Total mass delivered to orbit</t>
  </si>
  <si>
    <t>SpaceX S-1, §6</t>
  </si>
  <si>
    <t>Total launches</t>
  </si>
  <si>
    <t>Falcon + Starship launches</t>
  </si>
  <si>
    <t>Customer Falcon launches</t>
  </si>
  <si>
    <t>External customer launches</t>
  </si>
  <si>
    <t>Internal Falcon launches</t>
  </si>
  <si>
    <t>Starlink internal launches</t>
  </si>
  <si>
    <t>AI compute capacity (GW)</t>
  </si>
  <si>
    <t>GW</t>
  </si>
  <si>
    <t>Nameplate compute draw</t>
  </si>
  <si>
    <t>SpaceX S-1, §8</t>
  </si>
  <si>
    <t>Grok/X monthly active users (M)</t>
  </si>
  <si>
    <t>Combined Grok + X MAUs</t>
  </si>
  <si>
    <t>AI paid subscribers (M)</t>
  </si>
  <si>
    <t>X Premium + SuperGrok subscribers</t>
  </si>
  <si>
    <t>Total capex</t>
  </si>
  <si>
    <t>Across Space, Connectivity, AI</t>
  </si>
  <si>
    <t>SpaceX S-1, §9</t>
  </si>
  <si>
    <t>Space capex</t>
  </si>
  <si>
    <t>Falcon, Starship, launch facilities</t>
  </si>
  <si>
    <t>Connectivity capex</t>
  </si>
  <si>
    <t>Starlink satellites + ground stations</t>
  </si>
  <si>
    <t>AI capex</t>
  </si>
  <si>
    <t>GPUs, data centers, power</t>
  </si>
  <si>
    <t>Operating cash flow</t>
  </si>
  <si>
    <t>Net cash from operating activities</t>
  </si>
  <si>
    <t>Free cash flow (OCF - Capex)</t>
  </si>
  <si>
    <t>OCF minus capex</t>
  </si>
  <si>
    <t>Cash + Marketable securities</t>
  </si>
  <si>
    <t>Liquid assets</t>
  </si>
  <si>
    <t>Total debt (current + LT)</t>
  </si>
  <si>
    <t>Including finance leases</t>
  </si>
  <si>
    <t>Net debt</t>
  </si>
  <si>
    <t>Total debt - liquidity</t>
  </si>
  <si>
    <t>Derived</t>
  </si>
  <si>
    <t>Deferred revenue (total)</t>
  </si>
  <si>
    <t>Current + non-current</t>
  </si>
  <si>
    <t>Backlog</t>
  </si>
  <si>
    <t>Contracted future revenue</t>
  </si>
  <si>
    <t>SpaceX S-1, §12</t>
  </si>
  <si>
    <t>Bridge Loan outstanding</t>
  </si>
  <si>
    <t>Bridge Loan principal</t>
  </si>
  <si>
    <t>SpaceX S-1, §13</t>
  </si>
  <si>
    <t>SpaceX Fully Diluted Share Count Extract — Mar 31, 2026 pro forma</t>
  </si>
  <si>
    <t>Pro forma Class A common (incl. preferred conversion &amp; Class C reclass)</t>
  </si>
  <si>
    <t>SpaceX S-1, §14</t>
  </si>
  <si>
    <t>Pro forma Class B common</t>
  </si>
  <si>
    <t>Post-3/31 share issuances (placeholder)</t>
  </si>
  <si>
    <t>Model input</t>
  </si>
  <si>
    <t>Pricing prospectus — input in IPO_Analysis</t>
  </si>
  <si>
    <t>Underwriters' over-allotment option (greenshoe)</t>
  </si>
  <si>
    <t>Computed in IPO_Analysis</t>
  </si>
  <si>
    <t>Outstanding stock options at Mar 31, 2026</t>
  </si>
  <si>
    <t>Class A/B/C</t>
  </si>
  <si>
    <t>SpaceX S-1, §15 reserve table</t>
  </si>
  <si>
    <t>Outstanding RSUs at Mar 31, 2026</t>
  </si>
  <si>
    <t>Performance &amp; market condition awards (excl. from diluted EPS)</t>
  </si>
  <si>
    <t>SpaceX S-1, §15 + §16</t>
  </si>
  <si>
    <t>Founder / additional PRSUs (already in performance awards)</t>
  </si>
  <si>
    <t>included in row 11</t>
  </si>
  <si>
    <t>SpaceX S-1, §15</t>
  </si>
  <si>
    <t>EchoStar spectrum equity consideration</t>
  </si>
  <si>
    <t>SpaceX S-1, §13 + §15</t>
  </si>
  <si>
    <t>Cursor acquisition option ($60B / VWAP)</t>
  </si>
  <si>
    <t>contingent</t>
  </si>
  <si>
    <t>SpaceX S-1, §16</t>
  </si>
  <si>
    <t>A&amp;R 2024 Plan future grant reserve</t>
  </si>
  <si>
    <t>Class A/C</t>
  </si>
  <si>
    <t>A&amp;R 2017 ESPP reserve</t>
  </si>
  <si>
    <t>Prior plan recycling / forfeitures</t>
  </si>
  <si>
    <t xml:space="preserve">  (+) Performance &amp; market condition awards</t>
  </si>
  <si>
    <t xml:space="preserve">  (+) EchoStar spectrum shares</t>
  </si>
  <si>
    <t xml:space="preserve">  (+) Cursor acquisition option shares</t>
  </si>
  <si>
    <t>SpaceX KPI Summary — Annual (FY 2025 / FY 2024 / FY 2023)</t>
  </si>
  <si>
    <t>FY 2023</t>
  </si>
  <si>
    <t>FY25 / FY24 - 1</t>
  </si>
  <si>
    <t>Operating income (loss) / revenue</t>
  </si>
  <si>
    <t>Net income (loss) / revenue</t>
  </si>
  <si>
    <t>Broadband + mobile satellites in LEO</t>
  </si>
  <si>
    <t>Liquid assets (cash + mkt sec)</t>
  </si>
  <si>
    <t>Current + non-current deferred revenue</t>
  </si>
  <si>
    <t>Derived (OCF - capex)</t>
  </si>
  <si>
    <t>Annual Financials — SpaceX (FY 2025 / FY 2024 / FY 2023)</t>
  </si>
  <si>
    <t>YoY % (25/24)</t>
  </si>
  <si>
    <t>n.m.</t>
  </si>
  <si>
    <t>Balance Sheet (period-end)</t>
  </si>
  <si>
    <t xml:space="preserve">  FY 2025 Revenue ($000)</t>
  </si>
  <si>
    <t xml:space="preserve">  FY 2025 EBITDA ($000)</t>
  </si>
  <si>
    <t xml:space="preserve">  EV / FY 2025 Revenue</t>
  </si>
  <si>
    <t xml:space="preserve">  EV / FY 2025 EBITDA</t>
  </si>
  <si>
    <t xml:space="preserve">  EV / FY 2025 Adj. EBITDA</t>
  </si>
  <si>
    <t xml:space="preserve">  Price / FY 2025 Revenue (mkt cap basis)</t>
  </si>
  <si>
    <t>Latest fiscal year</t>
  </si>
  <si>
    <t>Valuation Multiples (at midpoint, FY 2025 basis)</t>
  </si>
  <si>
    <t xml:space="preserve">  RPO / FY Revenue</t>
  </si>
  <si>
    <t>Validation Checks — SpaceX Model</t>
  </si>
  <si>
    <t>Revenue tie (FY 2025)</t>
  </si>
  <si>
    <t>Revenue tie (FY 2024)</t>
  </si>
  <si>
    <t>Cost of revenue tie (FY 2025)</t>
  </si>
  <si>
    <t>Cost of revenue tie (FY 2024)</t>
  </si>
  <si>
    <t>Gross profit tie (FY 2025)</t>
  </si>
  <si>
    <t>Gross profit tie (FY 2024)</t>
  </si>
  <si>
    <t>OpEx tie (FY 2025)</t>
  </si>
  <si>
    <t>OpEx tie (FY 2024)</t>
  </si>
  <si>
    <t>Operating income tie (FY 2025)</t>
  </si>
  <si>
    <t>Operating income tie (FY 2024)</t>
  </si>
  <si>
    <t>Net income tie (FY 2025)</t>
  </si>
  <si>
    <t>Net income tie (FY 2024)</t>
  </si>
  <si>
    <t>Products + Services revenue = Total revenue (D6)</t>
  </si>
  <si>
    <t>Products + Services revenue = Total revenue (E6)</t>
  </si>
  <si>
    <t>Products + Services COGS = Total COGS (D9). NOTE: SpaceX doesn't disclose by line; D7/D8 left blank.</t>
  </si>
  <si>
    <t>Products + Services COGS = Total COGS (E9). NOTE: SpaceX doesn't disclose by line; E7/E8 left blank.</t>
  </si>
  <si>
    <t>Total revenue - Total COGS = Gross profit (D10)</t>
  </si>
  <si>
    <t>Total revenue - Total COGS = Gross profit (E10)</t>
  </si>
  <si>
    <t>R&amp;D + SG&amp;A + Restructuring + Impairment vs sum-of-parts check</t>
  </si>
  <si>
    <t>Gross profit - (R&amp;D + SG&amp;A + Restr + Impair) - Operating loss (D15) = 0</t>
  </si>
  <si>
    <t>Gross profit - (R&amp;D + SG&amp;A + Restr + Impair) - Operating income/loss (E15) = 0</t>
  </si>
  <si>
    <t>Pretax (D19) - Tax (D20) - Net loss (D21) = 0</t>
  </si>
  <si>
    <t>Pretax (E19) - Tax (E20) - Net income (E21) = 0</t>
  </si>
  <si>
    <t>Balance sheet tie (Dec 31 2025)</t>
  </si>
  <si>
    <t>Total assets (D47) = Total liab + Pref + Equity (D59)</t>
  </si>
  <si>
    <t>Balance sheet tie (Dec 31 2024)</t>
  </si>
  <si>
    <t>Total assets (E47) = Total liab + Pref + Equity (E59)</t>
  </si>
  <si>
    <t>FY 2025 revenue ties to disclosed</t>
  </si>
  <si>
    <t>Annual_Financials!D6 = $18,674M ($000)</t>
  </si>
  <si>
    <t>FY 2025 net loss ties to disclosed</t>
  </si>
  <si>
    <t>Annual_Financials!D21 = -$4,937M</t>
  </si>
  <si>
    <t>FY 2025 Adj EBITDA ties to disclosed</t>
  </si>
  <si>
    <t>Annual_Financials!D27 = $6,584M</t>
  </si>
  <si>
    <t>Pro forma share count ties to disclosed</t>
  </si>
  <si>
    <t>Share_Count!C24 = 12,520,310,769</t>
  </si>
  <si>
    <t>FD shares tie to aggressive walk</t>
  </si>
  <si>
    <t>Share_Count!C26 = 15,739,210,769 (per markdown §16)</t>
  </si>
  <si>
    <t>IPO_Analysis FD shares (post-IPO + greenshoe + awards)</t>
  </si>
  <si>
    <t>IPO_Analysis!C32 should be ~14.02B (pro forma + IPO + options + RSUs + perf + EchoStar)</t>
  </si>
  <si>
    <t>~14,017,610,769</t>
  </si>
  <si>
    <t>IPO midpoint price within range</t>
  </si>
  <si>
    <t>C13 should be midpoint of C12 (low) and C14 (high)</t>
  </si>
  <si>
    <t>IPO_Analysis!F35 at midpoint</t>
  </si>
  <si>
    <t>FY 2025 op margin negative (loss year)</t>
  </si>
  <si>
    <t>KPIs!C9 should be &lt; 0</t>
  </si>
  <si>
    <t>&lt; 0</t>
  </si>
  <si>
    <t>FY 2025 revenue growth &gt;25%</t>
  </si>
  <si>
    <t>KPIs!C4 should be ~33%</t>
  </si>
  <si>
    <t>~33%</t>
  </si>
  <si>
    <t xml:space="preserve">  Net cash &amp; investments ($M, incl. IPO proceeds, net of debt)</t>
  </si>
  <si>
    <t>FD market cap in target range $1.75T - $1.90T</t>
  </si>
  <si>
    <t>$1.75T - $1.90T (post-$100B raise)</t>
  </si>
  <si>
    <t>*PLACEHOLDERS MAKE YOUR OWN FORECASTS</t>
  </si>
  <si>
    <t xml:space="preserve">IMPLIED  5 YR CAGR </t>
  </si>
  <si>
    <t>*YOU WILL DEF NEED TO BUILD A D&amp;A SCHEDULE</t>
  </si>
  <si>
    <t>*PLACEHOLDERS MAKE YOUR OWN FORECASTS for CAPEX SPEND TO GET TO MARS</t>
  </si>
  <si>
    <t xml:space="preserve">  (+) Total debt (current + LT)</t>
  </si>
  <si>
    <t xml:space="preserve">  Net cash bridge (EV adjustment)</t>
  </si>
  <si>
    <t xml:space="preserve">  (−) Cash &amp; equivalents</t>
  </si>
  <si>
    <t xml:space="preserve">  (−) Marketable securities</t>
  </si>
  <si>
    <t xml:space="preserve">  (−) Digital assets</t>
  </si>
  <si>
    <t xml:space="preserve">  (−) Net IPO proceeds (cash added by IPO)</t>
  </si>
  <si>
    <t>EV = Market Cap + Total debt − Cash &amp; equivalents − Marketable sec − Digital − Net IPO proceeds</t>
  </si>
  <si>
    <t xml:space="preserve">  (−) Net IPO proceeds</t>
  </si>
  <si>
    <t xml:space="preserve">  Net cash bridge (EV adjustment, $M)</t>
  </si>
  <si>
    <t xml:space="preserve">  Implied Enterprise Value ($B) = Target Adj EBITDA × Multiple</t>
  </si>
  <si>
    <t>SpaceX TAM &amp; Market Opportunity — Per S-1 (May 20, 2026)</t>
  </si>
  <si>
    <t>All values in $B. Source: SpaceX S-1 preliminary filing, May 20, 2026.</t>
  </si>
  <si>
    <t>SECTION 1: HEADLINE TAM</t>
  </si>
  <si>
    <t>Company estimates quantifiable TAM at $28.5T (excludes China and Russia).</t>
  </si>
  <si>
    <t>Segment</t>
  </si>
  <si>
    <t>TAM ($B)</t>
  </si>
  <si>
    <t>% of Quantified TAM</t>
  </si>
  <si>
    <t>Company Framing</t>
  </si>
  <si>
    <t>Space</t>
  </si>
  <si>
    <t>Launch, manufacturing, PNT, satellite ops, gov agency uncontracted spend</t>
  </si>
  <si>
    <t>Connectivity</t>
  </si>
  <si>
    <t>Starlink Broadband + Starlink Mobile</t>
  </si>
  <si>
    <t>AI</t>
  </si>
  <si>
    <t>Infrastructure, subscriptions, advertising, enterprise applications</t>
  </si>
  <si>
    <t>Total quantified TAM (sum)</t>
  </si>
  <si>
    <t>Rounded company estimate = $28.5T</t>
  </si>
  <si>
    <t>Company rounded figure</t>
  </si>
  <si>
    <t>Rounding gap</t>
  </si>
  <si>
    <t>SECTION 2: SEGMENT BUILD</t>
  </si>
  <si>
    <t>Sub-segment</t>
  </si>
  <si>
    <t>Parent segment</t>
  </si>
  <si>
    <t>Methodology / Source</t>
  </si>
  <si>
    <t>Space-enabled solutions</t>
  </si>
  <si>
    <t>Novaspace 2025 market estimate</t>
  </si>
  <si>
    <t>Starlink Broadband — Consumer</t>
  </si>
  <si>
    <t>1.8B households × $31/mo × 12 = $670B (rounded to $660B)</t>
  </si>
  <si>
    <t>Starlink Broadband — Enterprise</t>
  </si>
  <si>
    <t>Grand View Research, global biz broadband 2025</t>
  </si>
  <si>
    <t>Starlink Broadband — Government</t>
  </si>
  <si>
    <t>Novaspace, publicly disclosed gov programs only</t>
  </si>
  <si>
    <t>Starlink Mobile</t>
  </si>
  <si>
    <t>8.0B devices × $8/mo × 12 = $768B (stated $740B)</t>
  </si>
  <si>
    <t>AI Infrastructure</t>
  </si>
  <si>
    <t>104M GPUs × 80% utilization × 8,760 hrs × $3.33/GPU-hr = $2.43T</t>
  </si>
  <si>
    <t>AI Consumer Subscriptions</t>
  </si>
  <si>
    <t>5.5B population age 10+ × $12/mo × 12 = $792B</t>
  </si>
  <si>
    <t>AI Digital Advertising</t>
  </si>
  <si>
    <t>S&amp;P Global Market Intelligence, 2025 global digital ad spend</t>
  </si>
  <si>
    <t>AI Enterprise Applications</t>
  </si>
  <si>
    <t>DCO 2026 digital economy estimate (broad ceiling)</t>
  </si>
  <si>
    <t>Total quantified sub-segments</t>
  </si>
  <si>
    <t>Sum of all quantified sub-segments</t>
  </si>
  <si>
    <t>SECTION 3: KEY FORMULAS &amp; ASSUMPTIONS</t>
  </si>
  <si>
    <t>Starlink Consumer Broadband</t>
  </si>
  <si>
    <t>Input</t>
  </si>
  <si>
    <t>Value</t>
  </si>
  <si>
    <t>Global households (2025)</t>
  </si>
  <si>
    <t>Billions</t>
  </si>
  <si>
    <t>Weighted avg monthly ARPU</t>
  </si>
  <si>
    <t>$/month</t>
  </si>
  <si>
    <t>High-income ARPU</t>
  </si>
  <si>
    <t>Upper-middle ARPU</t>
  </si>
  <si>
    <t>Lower-middle / low-income ARPU</t>
  </si>
  <si>
    <t>Calculated TAM ($B)</t>
  </si>
  <si>
    <t>Households × ARPU × 12</t>
  </si>
  <si>
    <t>Company stated TAM ($B)</t>
  </si>
  <si>
    <t>Rounded / region-weighted</t>
  </si>
  <si>
    <t>Global mobile devices (Dec 31 2025)</t>
  </si>
  <si>
    <t>Devices × ARPU × 12</t>
  </si>
  <si>
    <t>Rounded down for region weighting</t>
  </si>
  <si>
    <t>Global data center demand 2030 (GW)</t>
  </si>
  <si>
    <t>AI workload share</t>
  </si>
  <si>
    <t>AI data center demand (GW)</t>
  </si>
  <si>
    <t>Target PUE</t>
  </si>
  <si>
    <t>IT load after PUE (GW)</t>
  </si>
  <si>
    <t>GPU power (kW per GPU)</t>
  </si>
  <si>
    <t>Implied GPU count (M)</t>
  </si>
  <si>
    <t>Company stated GPU count (M)</t>
  </si>
  <si>
    <t>Utilization rate</t>
  </si>
  <si>
    <t>Hours per year</t>
  </si>
  <si>
    <t>GPU rental rate ($/GPU-hour)</t>
  </si>
  <si>
    <t>GPUs × utilization × hrs × rate ÷ $1B</t>
  </si>
  <si>
    <t>Global population age 10+ (B)</t>
  </si>
  <si>
    <t>SECTION 4: FUTURE / UNQUANTIFIED MARKETS</t>
  </si>
  <si>
    <t>Not in $28.5T quantified TAM — narrative upside only.</t>
  </si>
  <si>
    <t>Future market</t>
  </si>
  <si>
    <t>Quantified?</t>
  </si>
  <si>
    <t>Company framing</t>
  </si>
  <si>
    <t>Lunar economy (transport, infra, comms, energy, mfg, mining)</t>
  </si>
  <si>
    <t>No</t>
  </si>
  <si>
    <t>Too uncertain on timing, adoption, regulatory</t>
  </si>
  <si>
    <t>Long-haul point-to-point terrestrial travel</t>
  </si>
  <si>
    <t>Starship-enabled</t>
  </si>
  <si>
    <t>Space tourism</t>
  </si>
  <si>
    <t>Emerging market</t>
  </si>
  <si>
    <t>In-orbit manufacturing</t>
  </si>
  <si>
    <t>Enabled by lower launch costs + orbital infra</t>
  </si>
  <si>
    <t>Asteroid mining</t>
  </si>
  <si>
    <t>Not currently commercial</t>
  </si>
  <si>
    <t>Passenger/cargo transport to Moon</t>
  </si>
  <si>
    <t>Passenger/cargo transport to Mars</t>
  </si>
  <si>
    <t>Does not exist today at commercial scale</t>
  </si>
  <si>
    <t>Energy production on Moon and Mars</t>
  </si>
  <si>
    <t>Tied to lunar/Mars industrialization</t>
  </si>
  <si>
    <t>Manufacturing on Moon and Mars</t>
  </si>
  <si>
    <t>Potentially includes satellites and advanced chips</t>
  </si>
  <si>
    <t>Human augmentation</t>
  </si>
  <si>
    <t>Emerging future opportunity</t>
  </si>
  <si>
    <t>SECTION 5: KEY CRITIQUES</t>
  </si>
  <si>
    <t>Issue</t>
  </si>
  <si>
    <t>Why it matters</t>
  </si>
  <si>
    <t>TAM ≠ revenue guidance</t>
  </si>
  <si>
    <t>Company explicitly cautions estimates are imprecise / based on assumptions.</t>
  </si>
  <si>
    <t>AI dominates 93% of TAM</t>
  </si>
  <si>
    <t>A 'SpaceX = rockets + Starlink' frame misses the IPO narrative.</t>
  </si>
  <si>
    <t>Enterprise AI bucket ($22.7T) uses entire digital economy</t>
  </si>
  <si>
    <t>Much broader than conventional enterprise software TAM. Treat as ceiling, not SOM.</t>
  </si>
  <si>
    <t>Starlink Broadband math is auditable</t>
  </si>
  <si>
    <t>Households × ARPU. Stated $660B vs simple math $670B — minor rounding.</t>
  </si>
  <si>
    <t>Starlink Mobile math is auditable</t>
  </si>
  <si>
    <t>Devices × ARPU. Stated $740B vs simple math $768B — region-weighted.</t>
  </si>
  <si>
    <t>Space TAM understates strategic value</t>
  </si>
  <si>
    <t>Only $370B in TAM, but framed as unlock for Connectivity, AI, lunar, Mars.</t>
  </si>
  <si>
    <t>Future markets are pure narrative upside</t>
  </si>
  <si>
    <t>Lunar, Mars, asteroid mining, point-to-point all excluded from $28.5T.</t>
  </si>
  <si>
    <t>SECTION 6: MODEL INPUT TABLE</t>
  </si>
  <si>
    <t>Clean reference for downstream modeling tabs (Starlink Broadband, AI Compute, etc.).</t>
  </si>
  <si>
    <t>Market</t>
  </si>
  <si>
    <t>Model bucket</t>
  </si>
  <si>
    <t>Formula Confidence</t>
  </si>
  <si>
    <t>Medium</t>
  </si>
  <si>
    <t>Consumer broadband</t>
  </si>
  <si>
    <t>Starlink Broadband</t>
  </si>
  <si>
    <t>High</t>
  </si>
  <si>
    <t>Enterprise broadband</t>
  </si>
  <si>
    <t>Starlink Enterprise</t>
  </si>
  <si>
    <t>Government communications</t>
  </si>
  <si>
    <t>Starshield / gov connectivity</t>
  </si>
  <si>
    <t>AI infrastructure</t>
  </si>
  <si>
    <t>Compute services / infrastructure</t>
  </si>
  <si>
    <t>Consumer subscriptions</t>
  </si>
  <si>
    <t>Grok / X subscriptions</t>
  </si>
  <si>
    <t>Digital advertising</t>
  </si>
  <si>
    <t>X ads</t>
  </si>
  <si>
    <t>Enterprise applications</t>
  </si>
  <si>
    <t>Grok Enterprise / Macrohard / agentic AI</t>
  </si>
  <si>
    <t>Low-Medium</t>
  </si>
  <si>
    <t>Future</t>
  </si>
  <si>
    <t>Lunar / Mars / in-orbit / etc.</t>
  </si>
  <si>
    <t>Optional long-dated call options</t>
  </si>
  <si>
    <t>Low (narrative only)</t>
  </si>
  <si>
    <t>Total Quantified</t>
  </si>
  <si>
    <t xml:space="preserve">  Space (customer launches + Launch &amp; Development)</t>
  </si>
  <si>
    <t xml:space="preserve">  Connectivity (Starlink Broadband + Mobile + Enterprise/Gov)</t>
  </si>
  <si>
    <t xml:space="preserve">  AI (X/Grok subs, Advertising, AI Solutions, Compute)</t>
  </si>
  <si>
    <t>Revenue Build</t>
  </si>
  <si>
    <t xml:space="preserve">    Cumulative FY26E–FY29E revenue</t>
  </si>
  <si>
    <t>← Historical Actuals →</t>
  </si>
  <si>
    <t>← Forecast / Estimates →</t>
  </si>
  <si>
    <t>*ANTHROPIC $1.25B/month × ~7 months full-rate (Jul–Dec 2026) + 2 months ramp (May–Jun, assume 50% rate) ≈ $9.5B incremental AI revenue from Anthropic alone</t>
  </si>
  <si>
    <t>Segment Adjusted EBITDA Build</t>
  </si>
  <si>
    <t xml:space="preserve">  Space — Adj EBITDA</t>
  </si>
  <si>
    <t xml:space="preserve">    Adj EBITDA margin</t>
  </si>
  <si>
    <t xml:space="preserve">  Connectivity — Adj EBITDA</t>
  </si>
  <si>
    <t xml:space="preserve">  AI — Adj EBITDA</t>
  </si>
  <si>
    <t>Bridge: Adj EBITDA → Net Income</t>
  </si>
  <si>
    <t xml:space="preserve">  (−) Stock-based compensation</t>
  </si>
  <si>
    <t xml:space="preserve">    SBC % of revenue</t>
  </si>
  <si>
    <t xml:space="preserve">  (−) Depreciation &amp; amortization</t>
  </si>
  <si>
    <t xml:space="preserve">    D&amp;A % of revenue</t>
  </si>
  <si>
    <t xml:space="preserve">  (+/−) Net interest, taxes &amp; other</t>
  </si>
  <si>
    <t xml:space="preserve">  Operating Income (Loss)</t>
  </si>
  <si>
    <t>EV / Operating Income</t>
  </si>
  <si>
    <t xml:space="preserve">  Adj. EBITDA margin</t>
  </si>
  <si>
    <t>Segment Adj. EBITDA Margins</t>
  </si>
  <si>
    <t xml:space="preserve">  Space</t>
  </si>
  <si>
    <t xml:space="preserve">  Connectivity</t>
  </si>
  <si>
    <t xml:space="preserve">  AI</t>
  </si>
  <si>
    <t xml:space="preserve">  Space % of revenue</t>
  </si>
  <si>
    <t xml:space="preserve">  Connectivity % of revenue</t>
  </si>
  <si>
    <t xml:space="preserve">  AI % of revenue</t>
  </si>
  <si>
    <t>Segment Adj EBITDA sums to consolidated (FY 2025)</t>
  </si>
  <si>
    <t>IPO_Analysis!D88 (sum of segments) = Annual_Financials!D27 (consolidated)</t>
  </si>
  <si>
    <t>Segment Adj EBITDA sums to consolidated (FY 2024)</t>
  </si>
  <si>
    <t>IPO_Analysis!C88 (sum of segments) = Annual_Financials!E27 (consolidated)</t>
  </si>
  <si>
    <t xml:space="preserve">  Total revenue growth (YoY)</t>
  </si>
  <si>
    <t xml:space="preserve">  Space revenue growth</t>
  </si>
  <si>
    <t xml:space="preserve">  Connectivity revenue growth</t>
  </si>
  <si>
    <t xml:space="preserve">  AI revenue growth</t>
  </si>
  <si>
    <t xml:space="preserve">  FY 2025 Operating Income ($000)</t>
  </si>
  <si>
    <t xml:space="preserve">  FY 2025 Adj. EBITDA ($000)</t>
  </si>
  <si>
    <t xml:space="preserve">  EV / FY 2025 Operating Income</t>
  </si>
  <si>
    <t xml:space="preserve">  Target Year Adj. EBITDA ($M)</t>
  </si>
  <si>
    <t xml:space="preserve">  Target EV / Adj. EBITDA (x)</t>
  </si>
  <si>
    <t>*WHAT ARE LT EBITDA MARGINS HERE?</t>
  </si>
  <si>
    <t>*PLACEHOLDERS MAKE YOUR OWN FORECASTS from D&amp;A Build</t>
  </si>
  <si>
    <t>EBITDA (non-GAAP)</t>
  </si>
  <si>
    <t>Total Adjusted EBITDA (non-GAAP)</t>
  </si>
  <si>
    <t>Operating Income (Loss) [GAAP]</t>
  </si>
  <si>
    <t>Net Income (Loss) [GAAP]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</si>
</sst>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6" formatCode="&quot;$&quot;#,##0_);[Red]\(&quot;$&quot;#,##0\)"/>
    <numFmt numFmtId="164" formatCode="&quot;$&quot;#,##0"/>
    <numFmt numFmtId="165" formatCode="&quot;$&quot;#,##0.00"/>
    <numFmt numFmtId="166" formatCode="&quot;$&quot;#,##0,,&quot;M&quot;"/>
    <numFmt numFmtId="167" formatCode="&quot;$&quot;#,##0_%_);\(&quot;$&quot;#,##0\)_%;&quot;$&quot;#,##0_%_);@_%_)"/>
    <numFmt numFmtId="168" formatCode="&quot;$&quot;#,##0;\(&quot;$&quot;#,##0\);\-"/>
    <numFmt numFmtId="169" formatCode="0.0\x"/>
    <numFmt numFmtId="170" formatCode="0.0%"/>
    <numFmt numFmtId="171" formatCode="#,##0.0%_);\(#,##0.0%\)_);#,##0.0%_);@_%_)"/>
    <numFmt numFmtId="172" formatCode="#,##0%_);\(#,##0%\)_);#,##0%_);@_%_)"/>
    <numFmt numFmtId="173" formatCode="#,##0_%_);\(#,##0\)_%;#,##0_%_);@_%_)"/>
    <numFmt numFmtId="174" formatCode="&quot;$&quot;#,##0.0"/>
    <numFmt numFmtId="175" formatCode="#,##0;[Red]\(#,##0\);\-"/>
    <numFmt numFmtId="176" formatCode="0.0%;[Red]\(0.0%\);\-"/>
    <numFmt numFmtId="177" formatCode="0.00;[Red]\(0.00\);\-"/>
    <numFmt numFmtId="178" formatCode="0.0;[Red]\(0.0\);\-"/>
    <numFmt numFmtId="179" formatCode="mmmm\ d\,\ yyyy"/>
    <numFmt numFmtId="180" formatCode="0.0&quot;x&quot;"/>
    <numFmt numFmtId="181" formatCode="&quot;$&quot;#,##0;[Red]\(&quot;$&quot;#,##0\);\-"/>
    <numFmt numFmtId="182" formatCode="#,##0.0"/>
    <numFmt numFmtId="183" formatCode="&quot;$&quot;#,##0_);[Red]\(&quot;$&quot;#,##0\);\-"/>
  </numFmts>
  <fonts count="64">
    <font>
      <sz val="11"/>
      <color rgb="FF000000"/>
      <name val="Carlito"/>
      <scheme val="minor"/>
    </font>
    <font>
      <sz val="26"/>
      <color rgb="FFFF0000"/>
      <name val="Carlito"/>
    </font>
    <font>
      <b/>
      <sz val="18"/>
      <color rgb="FFFF0000"/>
      <name val="Carlito"/>
    </font>
    <font>
      <b/>
      <sz val="16"/>
      <color rgb="FFFFFFFF"/>
      <name val="Carlito"/>
    </font>
    <font>
      <sz val="16"/>
      <color theme="1"/>
      <name val="Carlito"/>
    </font>
    <font>
      <sz val="16"/>
      <color rgb="FFFF0000"/>
      <name val="Carlito"/>
    </font>
    <font>
      <b/>
      <sz val="16"/>
      <color rgb="FF1F4E78"/>
      <name val="Carlito"/>
    </font>
    <font>
      <i/>
      <sz val="16"/>
      <color rgb="FF666666"/>
      <name val="Carlito"/>
    </font>
    <font>
      <b/>
      <sz val="16"/>
      <color rgb="FF0000FF"/>
      <name val="Carlito"/>
    </font>
    <font>
      <sz val="16"/>
      <color rgb="FF000000"/>
      <name val="Carlito"/>
    </font>
    <font>
      <b/>
      <sz val="16"/>
      <color theme="1"/>
      <name val="Carlito"/>
    </font>
    <font>
      <sz val="16"/>
      <color rgb="FF008000"/>
      <name val="Carlito"/>
    </font>
    <font>
      <i/>
      <sz val="16"/>
      <color rgb="FF888888"/>
      <name val="Carlito"/>
    </font>
    <font>
      <b/>
      <sz val="16"/>
      <color rgb="FF008000"/>
      <name val="Carlito"/>
    </font>
    <font>
      <i/>
      <sz val="16"/>
      <color theme="1"/>
      <name val="Carlito"/>
    </font>
    <font>
      <b/>
      <i/>
      <sz val="16"/>
      <color rgb="FF1F4E78"/>
      <name val="Carlito"/>
    </font>
    <font>
      <b/>
      <i/>
      <sz val="16"/>
      <color rgb="FF666666"/>
      <name val="Carlito"/>
    </font>
    <font>
      <sz val="16"/>
      <color rgb="FF0000FF"/>
      <name val="Carlito"/>
    </font>
    <font>
      <sz val="16"/>
      <color rgb="FF999999"/>
      <name val="Carlito"/>
    </font>
    <font>
      <sz val="16"/>
      <color rgb="FF333333"/>
      <name val="Carlito"/>
    </font>
    <font>
      <b/>
      <sz val="16"/>
      <color rgb="FFCC0000"/>
      <name val="Carlito"/>
    </font>
    <font>
      <b/>
      <sz val="16"/>
      <color rgb="FF006600"/>
      <name val="Carlito"/>
    </font>
    <font>
      <sz val="18"/>
      <color theme="1"/>
      <name val="Carlito"/>
    </font>
    <font>
      <b/>
      <sz val="14"/>
      <color rgb="FFFFFFFF"/>
      <name val="Carlito"/>
    </font>
    <font>
      <sz val="11"/>
      <name val="Carlito"/>
    </font>
    <font>
      <b/>
      <sz val="16"/>
      <color rgb="FF000000"/>
      <name val="Carlito"/>
    </font>
    <font>
      <sz val="11"/>
      <color rgb="FF0000FF"/>
      <name val="Carlito"/>
    </font>
    <font>
      <b/>
      <sz val="11"/>
      <color rgb="FF000000"/>
      <name val="Carlito"/>
    </font>
    <font>
      <sz val="11"/>
      <color theme="1"/>
      <name val="Carlito"/>
      <scheme val="minor"/>
    </font>
    <font>
      <sz val="11"/>
      <color theme="1"/>
      <name val="Carlito"/>
    </font>
    <font>
      <b/>
      <sz val="16"/>
      <color rgb="FFFF0000"/>
      <name val="Carlito"/>
    </font>
    <font>
      <i/>
      <sz val="16"/>
      <color rgb="FFFF0000"/>
      <name val="Carlito"/>
    </font>
    <font>
      <b/>
      <sz val="16"/>
      <color theme="3"/>
      <name val="Carlito"/>
    </font>
    <font>
      <b/>
      <sz val="14"/>
      <color rgb="FFFFFFFF"/>
      <name val="Carlito"/>
      <scheme val="minor"/>
    </font>
    <font>
      <i/>
      <sz val="11"/>
      <color rgb="FF666666"/>
      <name val="Carlito"/>
      <scheme val="minor"/>
    </font>
    <font>
      <b/>
      <sz val="11"/>
      <color rgb="FF000000"/>
      <name val="Carlito"/>
      <scheme val="minor"/>
    </font>
    <font>
      <b/>
      <sz val="11"/>
      <color rgb="FF0000FF"/>
      <name val="Carlito"/>
      <scheme val="minor"/>
    </font>
    <font>
      <b/>
      <sz val="11"/>
      <color rgb="FF008000"/>
      <name val="Carlito"/>
      <scheme val="minor"/>
    </font>
    <font>
      <b/>
      <sz val="11"/>
      <color rgb="FFFF0000"/>
      <name val="Carlito"/>
      <scheme val="minor"/>
    </font>
    <font>
      <b/>
      <sz val="16"/>
      <color rgb="FFFFFFFF"/>
      <name val="Carlito"/>
      <scheme val="minor"/>
    </font>
    <font>
      <sz val="16"/>
      <color rgb="FF000000"/>
      <name val="Carlito"/>
      <scheme val="minor"/>
    </font>
    <font>
      <b/>
      <sz val="16"/>
      <color rgb="FF000000"/>
      <name val="Carlito"/>
      <scheme val="minor"/>
    </font>
    <font>
      <i/>
      <sz val="16"/>
      <color rgb="FF666666"/>
      <name val="Carlito"/>
      <scheme val="minor"/>
    </font>
    <font>
      <b/>
      <sz val="16"/>
      <color rgb="FF0000FF"/>
      <name val="Carlito"/>
      <scheme val="minor"/>
    </font>
    <font>
      <sz val="16"/>
      <color rgb="FF008000"/>
      <name val="Carlito"/>
      <scheme val="minor"/>
    </font>
    <font>
      <b/>
      <sz val="16"/>
      <color rgb="FF1F4E78"/>
      <name val="Carlito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i/>
      <sz val="16"/>
      <color rgb="FF0000FF"/>
      <name val="Carlito"/>
    </font>
    <font>
      <b/>
      <i/>
      <sz val="16"/>
      <color rgb="FFFF0000"/>
      <name val="Carlito"/>
    </font>
    <font>
      <sz val="11"/>
      <color rgb="FF000000"/>
      <name val="Carlito"/>
    </font>
    <font>
      <b/>
      <sz val="11"/>
      <color rgb="FFFFFFFF"/>
      <name val="Carlito"/>
      <scheme val="minor"/>
    </font>
    <font>
      <sz val="16"/>
      <color rgb="FFFFFFFF"/>
      <name val="Carlito"/>
    </font>
    <font>
      <b/>
      <i/>
      <sz val="16"/>
      <color rgb="FF0000FF"/>
      <name val="Carlito"/>
      <scheme val="minor"/>
    </font>
    <font>
      <i/>
      <sz val="9"/>
      <color rgb="FF1F4E78"/>
      <name val="Carlito"/>
    </font>
    <font>
      <i/>
      <sz val="9"/>
      <color rgb="FF666666"/>
      <name val="Carlito"/>
    </font>
    <font>
      <b/>
      <i/>
      <sz val="16"/>
      <color rgb="FF888888"/>
      <name val="Carlito"/>
    </font>
    <font>
      <b/>
      <i/>
      <sz val="16"/>
      <color theme="3"/>
      <name val="Carlito"/>
    </font>
    <font>
      <i/>
      <sz val="16"/>
      <color rgb="FFFF0000"/>
      <name val="Carlito"/>
      <scheme val="minor"/>
    </font>
    <font>
      <b/>
      <i/>
      <sz val="16"/>
      <color rgb="FF0432FF"/>
      <name val="Carlito"/>
    </font>
    <font>
      <b/>
      <sz val="16"/>
      <color theme="1"/>
      <name val="Carlito (Body)"/>
    </font>
    <font>
      <b/>
      <i/>
      <sz val="16"/>
      <color theme="1"/>
      <name val="Carlito (Body)"/>
    </font>
    <font>
      <b/>
      <i/>
      <sz val="16"/>
      <color theme="1"/>
      <name val="Carlito"/>
    </font>
    <font>
      <b/>
      <sz val="18"/>
      <color rgb="FFFFFFFF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8F9FA"/>
        <bgColor indexed="64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44B3E1"/>
      </top>
      <bottom style="thin">
        <color rgb="FF44B3E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1F4E78"/>
      </bottom>
      <diagonal/>
    </border>
    <border>
      <left/>
      <right/>
      <top/>
      <bottom style="thin">
        <color rgb="FF44B3E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44B3E1"/>
      </top>
      <bottom/>
      <diagonal/>
    </border>
    <border>
      <left/>
      <right style="medium">
        <color rgb="FF000000"/>
      </right>
      <top style="thin">
        <color rgb="FF44B3E1"/>
      </top>
      <bottom/>
      <diagonal/>
    </border>
    <border>
      <left/>
      <right/>
      <top style="thin">
        <color rgb="FF44B3E1"/>
      </top>
      <bottom style="medium">
        <color rgb="FF44B3E1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44B3E1"/>
      </bottom>
      <diagonal/>
    </border>
    <border>
      <left/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1F4E78"/>
      </right>
      <top/>
      <bottom/>
      <diagonal/>
    </border>
    <border>
      <left/>
      <right style="thin">
        <color rgb="FF1F4E78"/>
      </right>
      <top style="thin">
        <color rgb="FFD0D0D0"/>
      </top>
      <bottom/>
      <diagonal/>
    </border>
    <border>
      <left/>
      <right style="thin">
        <color rgb="FF1F4E78"/>
      </right>
      <top style="double">
        <color rgb="FF000000"/>
      </top>
      <bottom/>
      <diagonal/>
    </border>
    <border>
      <left/>
      <right/>
      <top style="medium">
        <color rgb="FF1F4E78"/>
      </top>
      <bottom style="thin">
        <color rgb="FF1F4E78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 style="thin">
        <color rgb="FF1F4E78"/>
      </right>
      <top style="thin">
        <color indexed="64"/>
      </top>
      <bottom style="double">
        <color rgb="FF000000"/>
      </bottom>
      <diagonal/>
    </border>
    <border>
      <left/>
      <right/>
      <top style="thin">
        <color rgb="FF44B3E1"/>
      </top>
      <bottom style="double">
        <color rgb="FF44B3E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rgb="FF44B3E1"/>
      </top>
      <bottom style="double">
        <color rgb="FF44B3E1"/>
      </bottom>
      <diagonal/>
    </border>
    <border>
      <left/>
      <right style="thin">
        <color indexed="64"/>
      </right>
      <top style="thin">
        <color rgb="FF44B3E1"/>
      </top>
      <bottom/>
      <diagonal/>
    </border>
    <border>
      <left/>
      <right style="thin">
        <color indexed="64"/>
      </right>
      <top/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rgb="FF1F4E78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6" fillId="4" borderId="1" xfId="0" applyFont="1" applyFill="1" applyBorder="1"/>
    <xf numFmtId="0" fontId="4" fillId="4" borderId="1" xfId="0" applyFont="1" applyFill="1" applyBorder="1"/>
    <xf numFmtId="0" fontId="7" fillId="3" borderId="1" xfId="0" applyFont="1" applyFill="1" applyBorder="1"/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6" fillId="3" borderId="1" xfId="0" applyFont="1" applyFill="1" applyBorder="1"/>
    <xf numFmtId="0" fontId="10" fillId="3" borderId="1" xfId="0" applyFont="1" applyFill="1" applyBorder="1"/>
    <xf numFmtId="3" fontId="10" fillId="3" borderId="1" xfId="0" applyNumberFormat="1" applyFont="1" applyFill="1" applyBorder="1"/>
    <xf numFmtId="164" fontId="8" fillId="6" borderId="1" xfId="0" applyNumberFormat="1" applyFont="1" applyFill="1" applyBorder="1"/>
    <xf numFmtId="166" fontId="4" fillId="3" borderId="1" xfId="0" applyNumberFormat="1" applyFont="1" applyFill="1" applyBorder="1"/>
    <xf numFmtId="166" fontId="10" fillId="3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3" fontId="11" fillId="3" borderId="1" xfId="0" applyNumberFormat="1" applyFont="1" applyFill="1" applyBorder="1"/>
    <xf numFmtId="3" fontId="4" fillId="3" borderId="1" xfId="0" applyNumberFormat="1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3" fontId="10" fillId="3" borderId="4" xfId="0" applyNumberFormat="1" applyFont="1" applyFill="1" applyBorder="1"/>
    <xf numFmtId="0" fontId="6" fillId="5" borderId="5" xfId="0" applyFont="1" applyFill="1" applyBorder="1" applyAlignment="1">
      <alignment horizontal="center"/>
    </xf>
    <xf numFmtId="167" fontId="10" fillId="3" borderId="1" xfId="0" applyNumberFormat="1" applyFont="1" applyFill="1" applyBorder="1"/>
    <xf numFmtId="167" fontId="10" fillId="3" borderId="6" xfId="0" applyNumberFormat="1" applyFont="1" applyFill="1" applyBorder="1"/>
    <xf numFmtId="167" fontId="4" fillId="3" borderId="1" xfId="0" applyNumberFormat="1" applyFont="1" applyFill="1" applyBorder="1"/>
    <xf numFmtId="167" fontId="4" fillId="3" borderId="6" xfId="0" applyNumberFormat="1" applyFont="1" applyFill="1" applyBorder="1"/>
    <xf numFmtId="167" fontId="11" fillId="3" borderId="1" xfId="0" applyNumberFormat="1" applyFont="1" applyFill="1" applyBorder="1"/>
    <xf numFmtId="164" fontId="11" fillId="3" borderId="1" xfId="0" applyNumberFormat="1" applyFont="1" applyFill="1" applyBorder="1"/>
    <xf numFmtId="168" fontId="11" fillId="3" borderId="1" xfId="0" applyNumberFormat="1" applyFont="1" applyFill="1" applyBorder="1"/>
    <xf numFmtId="169" fontId="4" fillId="3" borderId="1" xfId="0" applyNumberFormat="1" applyFont="1" applyFill="1" applyBorder="1"/>
    <xf numFmtId="0" fontId="12" fillId="3" borderId="1" xfId="0" applyFont="1" applyFill="1" applyBorder="1"/>
    <xf numFmtId="0" fontId="10" fillId="7" borderId="7" xfId="0" applyFont="1" applyFill="1" applyBorder="1"/>
    <xf numFmtId="167" fontId="4" fillId="6" borderId="1" xfId="0" applyNumberFormat="1" applyFont="1" applyFill="1" applyBorder="1"/>
    <xf numFmtId="0" fontId="14" fillId="3" borderId="1" xfId="0" applyFont="1" applyFill="1" applyBorder="1"/>
    <xf numFmtId="167" fontId="13" fillId="7" borderId="7" xfId="0" applyNumberFormat="1" applyFont="1" applyFill="1" applyBorder="1"/>
    <xf numFmtId="167" fontId="10" fillId="7" borderId="7" xfId="0" applyNumberFormat="1" applyFont="1" applyFill="1" applyBorder="1"/>
    <xf numFmtId="167" fontId="11" fillId="5" borderId="1" xfId="0" applyNumberFormat="1" applyFont="1" applyFill="1" applyBorder="1"/>
    <xf numFmtId="0" fontId="10" fillId="7" borderId="8" xfId="0" applyFont="1" applyFill="1" applyBorder="1"/>
    <xf numFmtId="167" fontId="13" fillId="7" borderId="8" xfId="0" applyNumberFormat="1" applyFont="1" applyFill="1" applyBorder="1"/>
    <xf numFmtId="0" fontId="6" fillId="7" borderId="9" xfId="0" applyFont="1" applyFill="1" applyBorder="1"/>
    <xf numFmtId="0" fontId="15" fillId="3" borderId="10" xfId="0" applyFont="1" applyFill="1" applyBorder="1"/>
    <xf numFmtId="0" fontId="4" fillId="3" borderId="11" xfId="0" applyFont="1" applyFill="1" applyBorder="1"/>
    <xf numFmtId="167" fontId="6" fillId="7" borderId="7" xfId="0" applyNumberFormat="1" applyFont="1" applyFill="1" applyBorder="1"/>
    <xf numFmtId="0" fontId="4" fillId="7" borderId="7" xfId="0" applyFont="1" applyFill="1" applyBorder="1"/>
    <xf numFmtId="0" fontId="4" fillId="6" borderId="1" xfId="0" applyFont="1" applyFill="1" applyBorder="1"/>
    <xf numFmtId="167" fontId="11" fillId="7" borderId="7" xfId="0" applyNumberFormat="1" applyFont="1" applyFill="1" applyBorder="1"/>
    <xf numFmtId="0" fontId="12" fillId="7" borderId="1" xfId="0" applyFont="1" applyFill="1" applyBorder="1"/>
    <xf numFmtId="0" fontId="4" fillId="7" borderId="1" xfId="0" applyFont="1" applyFill="1" applyBorder="1"/>
    <xf numFmtId="171" fontId="12" fillId="7" borderId="1" xfId="0" applyNumberFormat="1" applyFont="1" applyFill="1" applyBorder="1"/>
    <xf numFmtId="0" fontId="6" fillId="3" borderId="12" xfId="0" applyFont="1" applyFill="1" applyBorder="1"/>
    <xf numFmtId="0" fontId="4" fillId="3" borderId="13" xfId="0" applyFont="1" applyFill="1" applyBorder="1"/>
    <xf numFmtId="167" fontId="13" fillId="3" borderId="13" xfId="0" applyNumberFormat="1" applyFont="1" applyFill="1" applyBorder="1"/>
    <xf numFmtId="167" fontId="10" fillId="3" borderId="13" xfId="0" applyNumberFormat="1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171" fontId="12" fillId="3" borderId="15" xfId="0" applyNumberFormat="1" applyFont="1" applyFill="1" applyBorder="1"/>
    <xf numFmtId="171" fontId="7" fillId="3" borderId="15" xfId="0" applyNumberFormat="1" applyFont="1" applyFill="1" applyBorder="1"/>
    <xf numFmtId="167" fontId="4" fillId="7" borderId="7" xfId="0" applyNumberFormat="1" applyFont="1" applyFill="1" applyBorder="1"/>
    <xf numFmtId="0" fontId="4" fillId="3" borderId="16" xfId="0" applyFont="1" applyFill="1" applyBorder="1"/>
    <xf numFmtId="167" fontId="13" fillId="3" borderId="16" xfId="0" applyNumberFormat="1" applyFont="1" applyFill="1" applyBorder="1"/>
    <xf numFmtId="0" fontId="6" fillId="3" borderId="16" xfId="0" applyFont="1" applyFill="1" applyBorder="1"/>
    <xf numFmtId="167" fontId="10" fillId="3" borderId="16" xfId="0" applyNumberFormat="1" applyFont="1" applyFill="1" applyBorder="1"/>
    <xf numFmtId="0" fontId="11" fillId="3" borderId="1" xfId="0" applyFont="1" applyFill="1" applyBorder="1"/>
    <xf numFmtId="0" fontId="13" fillId="3" borderId="1" xfId="0" applyFont="1" applyFill="1" applyBorder="1" applyAlignment="1">
      <alignment horizontal="center"/>
    </xf>
    <xf numFmtId="171" fontId="11" fillId="3" borderId="1" xfId="0" applyNumberFormat="1" applyFont="1" applyFill="1" applyBorder="1" applyAlignment="1">
      <alignment horizontal="center"/>
    </xf>
    <xf numFmtId="171" fontId="11" fillId="3" borderId="1" xfId="0" applyNumberFormat="1" applyFont="1" applyFill="1" applyBorder="1"/>
    <xf numFmtId="171" fontId="4" fillId="3" borderId="1" xfId="0" applyNumberFormat="1" applyFont="1" applyFill="1" applyBorder="1"/>
    <xf numFmtId="171" fontId="18" fillId="3" borderId="1" xfId="0" applyNumberFormat="1" applyFont="1" applyFill="1" applyBorder="1" applyAlignment="1">
      <alignment horizontal="center"/>
    </xf>
    <xf numFmtId="0" fontId="4" fillId="8" borderId="1" xfId="0" applyFont="1" applyFill="1" applyBorder="1"/>
    <xf numFmtId="0" fontId="6" fillId="3" borderId="17" xfId="0" applyFont="1" applyFill="1" applyBorder="1" applyAlignment="1">
      <alignment horizontal="center"/>
    </xf>
    <xf numFmtId="167" fontId="11" fillId="3" borderId="17" xfId="0" applyNumberFormat="1" applyFont="1" applyFill="1" applyBorder="1"/>
    <xf numFmtId="167" fontId="10" fillId="3" borderId="17" xfId="0" applyNumberFormat="1" applyFont="1" applyFill="1" applyBorder="1"/>
    <xf numFmtId="167" fontId="4" fillId="3" borderId="17" xfId="0" applyNumberFormat="1" applyFont="1" applyFill="1" applyBorder="1"/>
    <xf numFmtId="169" fontId="10" fillId="3" borderId="17" xfId="0" applyNumberFormat="1" applyFont="1" applyFill="1" applyBorder="1"/>
    <xf numFmtId="0" fontId="4" fillId="0" borderId="0" xfId="0" applyFont="1"/>
    <xf numFmtId="0" fontId="10" fillId="4" borderId="1" xfId="0" applyFont="1" applyFill="1" applyBorder="1"/>
    <xf numFmtId="0" fontId="20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165" fontId="8" fillId="3" borderId="1" xfId="0" applyNumberFormat="1" applyFont="1" applyFill="1" applyBorder="1"/>
    <xf numFmtId="3" fontId="8" fillId="3" borderId="1" xfId="0" applyNumberFormat="1" applyFont="1" applyFill="1" applyBorder="1"/>
    <xf numFmtId="174" fontId="4" fillId="3" borderId="1" xfId="0" applyNumberFormat="1" applyFont="1" applyFill="1" applyBorder="1" applyAlignment="1">
      <alignment horizontal="center"/>
    </xf>
    <xf numFmtId="174" fontId="10" fillId="3" borderId="1" xfId="0" applyNumberFormat="1" applyFont="1" applyFill="1" applyBorder="1" applyAlignment="1">
      <alignment horizontal="center"/>
    </xf>
    <xf numFmtId="174" fontId="10" fillId="3" borderId="7" xfId="0" applyNumberFormat="1" applyFont="1" applyFill="1" applyBorder="1" applyAlignment="1">
      <alignment horizontal="center"/>
    </xf>
    <xf numFmtId="174" fontId="10" fillId="7" borderId="7" xfId="0" applyNumberFormat="1" applyFont="1" applyFill="1" applyBorder="1" applyAlignment="1">
      <alignment horizontal="center"/>
    </xf>
    <xf numFmtId="0" fontId="22" fillId="3" borderId="1" xfId="0" applyFont="1" applyFill="1" applyBorder="1"/>
    <xf numFmtId="0" fontId="22" fillId="0" borderId="0" xfId="0" applyFont="1"/>
    <xf numFmtId="0" fontId="25" fillId="4" borderId="1" xfId="0" applyFont="1" applyFill="1" applyBorder="1" applyAlignment="1">
      <alignment horizontal="center" vertical="center"/>
    </xf>
    <xf numFmtId="175" fontId="17" fillId="0" borderId="0" xfId="0" applyNumberFormat="1" applyFont="1"/>
    <xf numFmtId="175" fontId="17" fillId="6" borderId="1" xfId="0" applyNumberFormat="1" applyFont="1" applyFill="1" applyBorder="1"/>
    <xf numFmtId="0" fontId="25" fillId="4" borderId="1" xfId="0" applyFont="1" applyFill="1" applyBorder="1" applyAlignment="1">
      <alignment horizontal="center" vertical="center" wrapText="1"/>
    </xf>
    <xf numFmtId="175" fontId="8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75" fontId="9" fillId="0" borderId="0" xfId="0" applyNumberFormat="1" applyFont="1" applyAlignment="1">
      <alignment wrapText="1"/>
    </xf>
    <xf numFmtId="175" fontId="17" fillId="0" borderId="0" xfId="0" applyNumberFormat="1" applyFont="1" applyAlignment="1">
      <alignment wrapText="1"/>
    </xf>
    <xf numFmtId="175" fontId="26" fillId="0" borderId="0" xfId="0" applyNumberFormat="1" applyFont="1"/>
    <xf numFmtId="0" fontId="27" fillId="4" borderId="1" xfId="0" applyFont="1" applyFill="1" applyBorder="1" applyAlignment="1">
      <alignment horizontal="center" vertical="center"/>
    </xf>
    <xf numFmtId="0" fontId="28" fillId="0" borderId="0" xfId="0" applyFont="1"/>
    <xf numFmtId="175" fontId="29" fillId="0" borderId="0" xfId="0" applyNumberFormat="1" applyFont="1"/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0" fontId="30" fillId="3" borderId="1" xfId="0" applyFont="1" applyFill="1" applyBorder="1"/>
    <xf numFmtId="0" fontId="31" fillId="3" borderId="1" xfId="0" applyFont="1" applyFill="1" applyBorder="1"/>
    <xf numFmtId="0" fontId="4" fillId="3" borderId="20" xfId="0" applyFont="1" applyFill="1" applyBorder="1"/>
    <xf numFmtId="0" fontId="31" fillId="3" borderId="20" xfId="0" applyFont="1" applyFill="1" applyBorder="1"/>
    <xf numFmtId="0" fontId="3" fillId="3" borderId="20" xfId="0" applyFont="1" applyFill="1" applyBorder="1"/>
    <xf numFmtId="6" fontId="3" fillId="3" borderId="20" xfId="0" applyNumberFormat="1" applyFont="1" applyFill="1" applyBorder="1" applyAlignment="1">
      <alignment horizontal="center"/>
    </xf>
    <xf numFmtId="0" fontId="19" fillId="3" borderId="20" xfId="0" applyFont="1" applyFill="1" applyBorder="1"/>
    <xf numFmtId="173" fontId="11" fillId="3" borderId="20" xfId="0" applyNumberFormat="1" applyFont="1" applyFill="1" applyBorder="1"/>
    <xf numFmtId="167" fontId="4" fillId="3" borderId="20" xfId="0" applyNumberFormat="1" applyFont="1" applyFill="1" applyBorder="1"/>
    <xf numFmtId="167" fontId="4" fillId="8" borderId="20" xfId="0" applyNumberFormat="1" applyFont="1" applyFill="1" applyBorder="1"/>
    <xf numFmtId="0" fontId="6" fillId="3" borderId="20" xfId="0" applyFont="1" applyFill="1" applyBorder="1"/>
    <xf numFmtId="173" fontId="13" fillId="3" borderId="20" xfId="0" applyNumberFormat="1" applyFont="1" applyFill="1" applyBorder="1"/>
    <xf numFmtId="167" fontId="10" fillId="3" borderId="20" xfId="0" applyNumberFormat="1" applyFont="1" applyFill="1" applyBorder="1"/>
    <xf numFmtId="167" fontId="10" fillId="8" borderId="20" xfId="0" applyNumberFormat="1" applyFont="1" applyFill="1" applyBorder="1"/>
    <xf numFmtId="0" fontId="3" fillId="3" borderId="20" xfId="0" applyFont="1" applyFill="1" applyBorder="1" applyAlignment="1">
      <alignment horizontal="center"/>
    </xf>
    <xf numFmtId="0" fontId="7" fillId="3" borderId="20" xfId="0" applyFont="1" applyFill="1" applyBorder="1"/>
    <xf numFmtId="0" fontId="4" fillId="8" borderId="20" xfId="0" applyFont="1" applyFill="1" applyBorder="1"/>
    <xf numFmtId="167" fontId="11" fillId="3" borderId="20" xfId="0" applyNumberFormat="1" applyFont="1" applyFill="1" applyBorder="1"/>
    <xf numFmtId="169" fontId="4" fillId="3" borderId="20" xfId="0" applyNumberFormat="1" applyFont="1" applyFill="1" applyBorder="1"/>
    <xf numFmtId="169" fontId="4" fillId="8" borderId="20" xfId="0" applyNumberFormat="1" applyFont="1" applyFill="1" applyBorder="1"/>
    <xf numFmtId="169" fontId="10" fillId="3" borderId="20" xfId="0" applyNumberFormat="1" applyFont="1" applyFill="1" applyBorder="1"/>
    <xf numFmtId="0" fontId="6" fillId="4" borderId="20" xfId="0" applyFont="1" applyFill="1" applyBorder="1"/>
    <xf numFmtId="0" fontId="4" fillId="4" borderId="20" xfId="0" applyFont="1" applyFill="1" applyBorder="1"/>
    <xf numFmtId="169" fontId="10" fillId="4" borderId="20" xfId="0" applyNumberFormat="1" applyFont="1" applyFill="1" applyBorder="1"/>
    <xf numFmtId="6" fontId="32" fillId="3" borderId="20" xfId="0" applyNumberFormat="1" applyFont="1" applyFill="1" applyBorder="1" applyAlignment="1">
      <alignment horizontal="center"/>
    </xf>
    <xf numFmtId="167" fontId="4" fillId="3" borderId="21" xfId="0" applyNumberFormat="1" applyFont="1" applyFill="1" applyBorder="1"/>
    <xf numFmtId="167" fontId="10" fillId="3" borderId="22" xfId="0" applyNumberFormat="1" applyFont="1" applyFill="1" applyBorder="1"/>
    <xf numFmtId="167" fontId="4" fillId="3" borderId="23" xfId="0" applyNumberFormat="1" applyFont="1" applyFill="1" applyBorder="1"/>
    <xf numFmtId="167" fontId="4" fillId="3" borderId="24" xfId="0" applyNumberFormat="1" applyFont="1" applyFill="1" applyBorder="1"/>
    <xf numFmtId="167" fontId="4" fillId="8" borderId="23" xfId="0" applyNumberFormat="1" applyFont="1" applyFill="1" applyBorder="1"/>
    <xf numFmtId="3" fontId="28" fillId="0" borderId="0" xfId="0" applyNumberFormat="1" applyFont="1"/>
    <xf numFmtId="0" fontId="4" fillId="3" borderId="1" xfId="0" applyFont="1" applyFill="1" applyBorder="1" applyAlignment="1">
      <alignment wrapText="1"/>
    </xf>
    <xf numFmtId="0" fontId="33" fillId="9" borderId="0" xfId="0" applyFont="1" applyFill="1"/>
    <xf numFmtId="0" fontId="34" fillId="0" borderId="0" xfId="0" applyFont="1"/>
    <xf numFmtId="0" fontId="35" fillId="0" borderId="0" xfId="0" applyFont="1"/>
    <xf numFmtId="0" fontId="35" fillId="10" borderId="0" xfId="0" applyFont="1" applyFill="1"/>
    <xf numFmtId="0" fontId="0" fillId="10" borderId="0" xfId="0" applyFill="1"/>
    <xf numFmtId="0" fontId="36" fillId="0" borderId="0" xfId="0" applyFont="1"/>
    <xf numFmtId="179" fontId="36" fillId="0" borderId="0" xfId="0" applyNumberFormat="1" applyFont="1"/>
    <xf numFmtId="1" fontId="36" fillId="0" borderId="0" xfId="0" applyNumberFormat="1" applyFont="1"/>
    <xf numFmtId="1" fontId="0" fillId="0" borderId="0" xfId="0" applyNumberFormat="1"/>
    <xf numFmtId="170" fontId="36" fillId="0" borderId="0" xfId="0" applyNumberFormat="1" applyFont="1"/>
    <xf numFmtId="0" fontId="37" fillId="0" borderId="0" xfId="0" applyFont="1"/>
    <xf numFmtId="0" fontId="38" fillId="0" borderId="0" xfId="0" applyFont="1"/>
    <xf numFmtId="0" fontId="35" fillId="10" borderId="0" xfId="0" applyFont="1" applyFill="1" applyAlignment="1">
      <alignment horizontal="center"/>
    </xf>
    <xf numFmtId="0" fontId="39" fillId="9" borderId="0" xfId="0" applyFont="1" applyFill="1"/>
    <xf numFmtId="0" fontId="5" fillId="3" borderId="20" xfId="0" applyFont="1" applyFill="1" applyBorder="1"/>
    <xf numFmtId="0" fontId="41" fillId="0" borderId="0" xfId="0" applyFont="1"/>
    <xf numFmtId="0" fontId="42" fillId="0" borderId="0" xfId="0" applyFont="1"/>
    <xf numFmtId="3" fontId="43" fillId="0" borderId="0" xfId="0" applyNumberFormat="1" applyFont="1"/>
    <xf numFmtId="0" fontId="40" fillId="0" borderId="0" xfId="0" applyFont="1"/>
    <xf numFmtId="3" fontId="40" fillId="0" borderId="0" xfId="0" applyNumberFormat="1" applyFont="1"/>
    <xf numFmtId="164" fontId="43" fillId="12" borderId="0" xfId="0" applyNumberFormat="1" applyFont="1" applyFill="1"/>
    <xf numFmtId="164" fontId="25" fillId="0" borderId="25" xfId="0" applyNumberFormat="1" applyFont="1" applyBorder="1"/>
    <xf numFmtId="167" fontId="40" fillId="0" borderId="0" xfId="0" applyNumberFormat="1" applyFont="1"/>
    <xf numFmtId="167" fontId="41" fillId="0" borderId="0" xfId="0" applyNumberFormat="1" applyFont="1"/>
    <xf numFmtId="167" fontId="44" fillId="0" borderId="0" xfId="0" applyNumberFormat="1" applyFont="1"/>
    <xf numFmtId="6" fontId="43" fillId="11" borderId="0" xfId="0" applyNumberFormat="1" applyFont="1" applyFill="1" applyAlignment="1">
      <alignment horizontal="center"/>
    </xf>
    <xf numFmtId="164" fontId="43" fillId="12" borderId="0" xfId="0" applyNumberFormat="1" applyFont="1" applyFill="1" applyAlignment="1">
      <alignment horizontal="center"/>
    </xf>
    <xf numFmtId="180" fontId="43" fillId="12" borderId="0" xfId="0" applyNumberFormat="1" applyFont="1" applyFill="1" applyAlignment="1">
      <alignment horizontal="center"/>
    </xf>
    <xf numFmtId="0" fontId="3" fillId="9" borderId="1" xfId="0" applyFont="1" applyFill="1" applyBorder="1"/>
    <xf numFmtId="6" fontId="28" fillId="0" borderId="0" xfId="0" applyNumberFormat="1" applyFont="1"/>
    <xf numFmtId="164" fontId="14" fillId="3" borderId="1" xfId="0" applyNumberFormat="1" applyFont="1" applyFill="1" applyBorder="1"/>
    <xf numFmtId="167" fontId="4" fillId="3" borderId="26" xfId="0" applyNumberFormat="1" applyFont="1" applyFill="1" applyBorder="1"/>
    <xf numFmtId="171" fontId="7" fillId="3" borderId="28" xfId="0" applyNumberFormat="1" applyFont="1" applyFill="1" applyBorder="1"/>
    <xf numFmtId="0" fontId="4" fillId="3" borderId="31" xfId="0" applyFont="1" applyFill="1" applyBorder="1"/>
    <xf numFmtId="167" fontId="4" fillId="7" borderId="17" xfId="0" applyNumberFormat="1" applyFont="1" applyFill="1" applyBorder="1"/>
    <xf numFmtId="0" fontId="9" fillId="3" borderId="1" xfId="0" applyFont="1" applyFill="1" applyBorder="1"/>
    <xf numFmtId="171" fontId="9" fillId="3" borderId="1" xfId="0" applyNumberFormat="1" applyFont="1" applyFill="1" applyBorder="1"/>
    <xf numFmtId="171" fontId="25" fillId="14" borderId="1" xfId="0" applyNumberFormat="1" applyFont="1" applyFill="1" applyBorder="1" applyAlignment="1">
      <alignment horizontal="center"/>
    </xf>
    <xf numFmtId="0" fontId="25" fillId="14" borderId="17" xfId="0" applyFont="1" applyFill="1" applyBorder="1" applyAlignment="1">
      <alignment horizontal="center"/>
    </xf>
    <xf numFmtId="167" fontId="9" fillId="3" borderId="1" xfId="0" applyNumberFormat="1" applyFont="1" applyFill="1" applyBorder="1"/>
    <xf numFmtId="167" fontId="9" fillId="3" borderId="17" xfId="0" applyNumberFormat="1" applyFont="1" applyFill="1" applyBorder="1"/>
    <xf numFmtId="169" fontId="9" fillId="3" borderId="1" xfId="0" applyNumberFormat="1" applyFont="1" applyFill="1" applyBorder="1"/>
    <xf numFmtId="169" fontId="9" fillId="3" borderId="20" xfId="0" applyNumberFormat="1" applyFont="1" applyFill="1" applyBorder="1"/>
    <xf numFmtId="169" fontId="25" fillId="3" borderId="17" xfId="0" applyNumberFormat="1" applyFont="1" applyFill="1" applyBorder="1"/>
    <xf numFmtId="169" fontId="25" fillId="3" borderId="20" xfId="0" applyNumberFormat="1" applyFont="1" applyFill="1" applyBorder="1"/>
    <xf numFmtId="171" fontId="48" fillId="12" borderId="1" xfId="0" applyNumberFormat="1" applyFont="1" applyFill="1" applyBorder="1"/>
    <xf numFmtId="171" fontId="48" fillId="12" borderId="29" xfId="0" applyNumberFormat="1" applyFont="1" applyFill="1" applyBorder="1"/>
    <xf numFmtId="167" fontId="9" fillId="6" borderId="1" xfId="0" applyNumberFormat="1" applyFont="1" applyFill="1" applyBorder="1"/>
    <xf numFmtId="167" fontId="9" fillId="7" borderId="7" xfId="0" applyNumberFormat="1" applyFont="1" applyFill="1" applyBorder="1"/>
    <xf numFmtId="167" fontId="9" fillId="7" borderId="27" xfId="0" applyNumberFormat="1" applyFont="1" applyFill="1" applyBorder="1"/>
    <xf numFmtId="167" fontId="25" fillId="13" borderId="7" xfId="0" applyNumberFormat="1" applyFont="1" applyFill="1" applyBorder="1"/>
    <xf numFmtId="167" fontId="25" fillId="13" borderId="27" xfId="0" applyNumberFormat="1" applyFont="1" applyFill="1" applyBorder="1"/>
    <xf numFmtId="167" fontId="25" fillId="13" borderId="30" xfId="0" applyNumberFormat="1" applyFont="1" applyFill="1" applyBorder="1"/>
    <xf numFmtId="167" fontId="25" fillId="13" borderId="28" xfId="0" applyNumberFormat="1" applyFont="1" applyFill="1" applyBorder="1"/>
    <xf numFmtId="167" fontId="25" fillId="13" borderId="13" xfId="0" applyNumberFormat="1" applyFont="1" applyFill="1" applyBorder="1"/>
    <xf numFmtId="0" fontId="4" fillId="0" borderId="1" xfId="0" applyFont="1" applyBorder="1"/>
    <xf numFmtId="0" fontId="30" fillId="3" borderId="20" xfId="0" applyFont="1" applyFill="1" applyBorder="1"/>
    <xf numFmtId="0" fontId="49" fillId="3" borderId="1" xfId="0" applyFont="1" applyFill="1" applyBorder="1"/>
    <xf numFmtId="167" fontId="4" fillId="0" borderId="1" xfId="0" applyNumberFormat="1" applyFont="1" applyBorder="1"/>
    <xf numFmtId="174" fontId="4" fillId="0" borderId="1" xfId="0" applyNumberFormat="1" applyFont="1" applyBorder="1"/>
    <xf numFmtId="172" fontId="20" fillId="3" borderId="33" xfId="0" applyNumberFormat="1" applyFont="1" applyFill="1" applyBorder="1" applyAlignment="1">
      <alignment horizontal="center"/>
    </xf>
    <xf numFmtId="172" fontId="45" fillId="11" borderId="34" xfId="0" applyNumberFormat="1" applyFont="1" applyFill="1" applyBorder="1" applyAlignment="1">
      <alignment horizontal="center"/>
    </xf>
    <xf numFmtId="172" fontId="21" fillId="3" borderId="35" xfId="0" applyNumberFormat="1" applyFont="1" applyFill="1" applyBorder="1" applyAlignment="1">
      <alignment horizontal="center"/>
    </xf>
    <xf numFmtId="167" fontId="20" fillId="3" borderId="33" xfId="0" applyNumberFormat="1" applyFont="1" applyFill="1" applyBorder="1" applyAlignment="1">
      <alignment horizontal="center"/>
    </xf>
    <xf numFmtId="167" fontId="6" fillId="8" borderId="34" xfId="0" applyNumberFormat="1" applyFont="1" applyFill="1" applyBorder="1" applyAlignment="1">
      <alignment horizontal="center"/>
    </xf>
    <xf numFmtId="167" fontId="21" fillId="3" borderId="35" xfId="0" applyNumberFormat="1" applyFont="1" applyFill="1" applyBorder="1" applyAlignment="1">
      <alignment horizontal="center"/>
    </xf>
    <xf numFmtId="175" fontId="50" fillId="0" borderId="0" xfId="0" applyNumberFormat="1" applyFont="1"/>
    <xf numFmtId="178" fontId="50" fillId="0" borderId="0" xfId="0" applyNumberFormat="1" applyFont="1"/>
    <xf numFmtId="176" fontId="29" fillId="15" borderId="0" xfId="0" applyNumberFormat="1" applyFont="1" applyFill="1"/>
    <xf numFmtId="176" fontId="28" fillId="15" borderId="0" xfId="0" applyNumberFormat="1" applyFont="1" applyFill="1"/>
    <xf numFmtId="181" fontId="29" fillId="16" borderId="0" xfId="0" applyNumberFormat="1" applyFont="1" applyFill="1"/>
    <xf numFmtId="181" fontId="28" fillId="16" borderId="0" xfId="0" applyNumberFormat="1" applyFont="1" applyFill="1"/>
    <xf numFmtId="181" fontId="29" fillId="15" borderId="0" xfId="0" applyNumberFormat="1" applyFont="1" applyFill="1"/>
    <xf numFmtId="181" fontId="28" fillId="15" borderId="0" xfId="0" applyNumberFormat="1" applyFont="1" applyFill="1"/>
    <xf numFmtId="176" fontId="50" fillId="16" borderId="0" xfId="0" applyNumberFormat="1" applyFont="1" applyFill="1"/>
    <xf numFmtId="176" fontId="29" fillId="16" borderId="0" xfId="0" applyNumberFormat="1" applyFont="1" applyFill="1"/>
    <xf numFmtId="176" fontId="28" fillId="16" borderId="0" xfId="0" applyNumberFormat="1" applyFont="1" applyFill="1"/>
    <xf numFmtId="176" fontId="50" fillId="15" borderId="0" xfId="0" applyNumberFormat="1" applyFont="1" applyFill="1"/>
    <xf numFmtId="178" fontId="29" fillId="16" borderId="0" xfId="0" applyNumberFormat="1" applyFont="1" applyFill="1"/>
    <xf numFmtId="178" fontId="28" fillId="16" borderId="0" xfId="0" applyNumberFormat="1" applyFont="1" applyFill="1"/>
    <xf numFmtId="175" fontId="29" fillId="16" borderId="0" xfId="0" applyNumberFormat="1" applyFont="1" applyFill="1"/>
    <xf numFmtId="175" fontId="28" fillId="16" borderId="0" xfId="0" applyNumberFormat="1" applyFont="1" applyFill="1"/>
    <xf numFmtId="175" fontId="29" fillId="15" borderId="0" xfId="0" applyNumberFormat="1" applyFont="1" applyFill="1"/>
    <xf numFmtId="175" fontId="28" fillId="15" borderId="0" xfId="0" applyNumberFormat="1" applyFont="1" applyFill="1"/>
    <xf numFmtId="181" fontId="50" fillId="16" borderId="0" xfId="0" applyNumberFormat="1" applyFont="1" applyFill="1"/>
    <xf numFmtId="181" fontId="50" fillId="15" borderId="0" xfId="0" applyNumberFormat="1" applyFont="1" applyFill="1"/>
    <xf numFmtId="0" fontId="51" fillId="9" borderId="0" xfId="0" applyFont="1" applyFill="1"/>
    <xf numFmtId="0" fontId="35" fillId="12" borderId="0" xfId="0" applyFont="1" applyFill="1"/>
    <xf numFmtId="0" fontId="35" fillId="13" borderId="0" xfId="0" applyFont="1" applyFill="1"/>
    <xf numFmtId="181" fontId="35" fillId="13" borderId="0" xfId="0" applyNumberFormat="1" applyFont="1" applyFill="1"/>
    <xf numFmtId="170" fontId="35" fillId="13" borderId="0" xfId="0" applyNumberFormat="1" applyFont="1" applyFill="1"/>
    <xf numFmtId="182" fontId="35" fillId="12" borderId="0" xfId="0" applyNumberFormat="1" applyFont="1" applyFill="1"/>
    <xf numFmtId="182" fontId="35" fillId="0" borderId="0" xfId="0" applyNumberFormat="1" applyFont="1"/>
    <xf numFmtId="0" fontId="0" fillId="9" borderId="0" xfId="0" applyFill="1"/>
    <xf numFmtId="181" fontId="0" fillId="0" borderId="0" xfId="0" applyNumberFormat="1"/>
    <xf numFmtId="170" fontId="0" fillId="0" borderId="0" xfId="0" applyNumberFormat="1"/>
    <xf numFmtId="182" fontId="0" fillId="0" borderId="0" xfId="0" applyNumberFormat="1"/>
    <xf numFmtId="0" fontId="9" fillId="0" borderId="20" xfId="0" applyFont="1" applyBorder="1"/>
    <xf numFmtId="168" fontId="9" fillId="0" borderId="20" xfId="0" applyNumberFormat="1" applyFont="1" applyBorder="1"/>
    <xf numFmtId="0" fontId="52" fillId="9" borderId="20" xfId="0" applyFont="1" applyFill="1" applyBorder="1"/>
    <xf numFmtId="0" fontId="9" fillId="16" borderId="20" xfId="0" applyFont="1" applyFill="1" applyBorder="1"/>
    <xf numFmtId="176" fontId="12" fillId="16" borderId="20" xfId="0" applyNumberFormat="1" applyFont="1" applyFill="1" applyBorder="1" applyAlignment="1">
      <alignment horizontal="right"/>
    </xf>
    <xf numFmtId="176" fontId="12" fillId="16" borderId="20" xfId="0" applyNumberFormat="1" applyFont="1" applyFill="1" applyBorder="1"/>
    <xf numFmtId="176" fontId="48" fillId="12" borderId="20" xfId="0" applyNumberFormat="1" applyFont="1" applyFill="1" applyBorder="1"/>
    <xf numFmtId="170" fontId="12" fillId="0" borderId="20" xfId="0" applyNumberFormat="1" applyFont="1" applyBorder="1"/>
    <xf numFmtId="176" fontId="12" fillId="0" borderId="20" xfId="0" applyNumberFormat="1" applyFont="1" applyBorder="1"/>
    <xf numFmtId="0" fontId="6" fillId="0" borderId="20" xfId="0" applyFont="1" applyBorder="1" applyAlignment="1">
      <alignment indent="1"/>
    </xf>
    <xf numFmtId="0" fontId="12" fillId="0" borderId="20" xfId="0" applyFont="1" applyBorder="1" applyAlignment="1">
      <alignment indent="2"/>
    </xf>
    <xf numFmtId="168" fontId="9" fillId="0" borderId="20" xfId="0" applyNumberFormat="1" applyFont="1" applyBorder="1" applyAlignment="1">
      <alignment horizontal="right"/>
    </xf>
    <xf numFmtId="168" fontId="40" fillId="0" borderId="20" xfId="0" applyNumberFormat="1" applyFont="1" applyBorder="1"/>
    <xf numFmtId="0" fontId="9" fillId="18" borderId="20" xfId="0" applyFont="1" applyFill="1" applyBorder="1"/>
    <xf numFmtId="176" fontId="9" fillId="18" borderId="20" xfId="0" applyNumberFormat="1" applyFont="1" applyFill="1" applyBorder="1" applyAlignment="1">
      <alignment horizontal="right"/>
    </xf>
    <xf numFmtId="176" fontId="9" fillId="18" borderId="20" xfId="0" applyNumberFormat="1" applyFont="1" applyFill="1" applyBorder="1"/>
    <xf numFmtId="176" fontId="40" fillId="18" borderId="20" xfId="0" applyNumberFormat="1" applyFont="1" applyFill="1" applyBorder="1"/>
    <xf numFmtId="170" fontId="9" fillId="18" borderId="20" xfId="0" applyNumberFormat="1" applyFont="1" applyFill="1" applyBorder="1"/>
    <xf numFmtId="171" fontId="9" fillId="18" borderId="20" xfId="0" applyNumberFormat="1" applyFont="1" applyFill="1" applyBorder="1"/>
    <xf numFmtId="0" fontId="9" fillId="13" borderId="36" xfId="0" applyFont="1" applyFill="1" applyBorder="1"/>
    <xf numFmtId="0" fontId="12" fillId="16" borderId="20" xfId="0" applyFont="1" applyFill="1" applyBorder="1" applyAlignment="1">
      <alignment indent="1"/>
    </xf>
    <xf numFmtId="0" fontId="7" fillId="16" borderId="20" xfId="0" applyFont="1" applyFill="1" applyBorder="1" applyAlignment="1">
      <alignment indent="1"/>
    </xf>
    <xf numFmtId="168" fontId="7" fillId="16" borderId="20" xfId="0" applyNumberFormat="1" applyFont="1" applyFill="1" applyBorder="1"/>
    <xf numFmtId="176" fontId="12" fillId="0" borderId="37" xfId="0" applyNumberFormat="1" applyFont="1" applyBorder="1" applyAlignment="1">
      <alignment horizontal="right"/>
    </xf>
    <xf numFmtId="176" fontId="12" fillId="0" borderId="37" xfId="0" applyNumberFormat="1" applyFont="1" applyBorder="1"/>
    <xf numFmtId="176" fontId="53" fillId="12" borderId="37" xfId="0" applyNumberFormat="1" applyFont="1" applyFill="1" applyBorder="1"/>
    <xf numFmtId="176" fontId="48" fillId="12" borderId="37" xfId="0" applyNumberFormat="1" applyFont="1" applyFill="1" applyBorder="1"/>
    <xf numFmtId="168" fontId="9" fillId="0" borderId="39" xfId="0" applyNumberFormat="1" applyFont="1" applyBorder="1"/>
    <xf numFmtId="170" fontId="12" fillId="0" borderId="39" xfId="0" applyNumberFormat="1" applyFont="1" applyBorder="1"/>
    <xf numFmtId="176" fontId="12" fillId="0" borderId="39" xfId="0" applyNumberFormat="1" applyFont="1" applyBorder="1"/>
    <xf numFmtId="176" fontId="9" fillId="18" borderId="40" xfId="0" applyNumberFormat="1" applyFont="1" applyFill="1" applyBorder="1"/>
    <xf numFmtId="170" fontId="9" fillId="18" borderId="40" xfId="0" applyNumberFormat="1" applyFont="1" applyFill="1" applyBorder="1"/>
    <xf numFmtId="176" fontId="12" fillId="16" borderId="41" xfId="0" applyNumberFormat="1" applyFont="1" applyFill="1" applyBorder="1"/>
    <xf numFmtId="168" fontId="7" fillId="16" borderId="39" xfId="0" applyNumberFormat="1" applyFont="1" applyFill="1" applyBorder="1"/>
    <xf numFmtId="0" fontId="4" fillId="3" borderId="42" xfId="0" applyFont="1" applyFill="1" applyBorder="1"/>
    <xf numFmtId="0" fontId="6" fillId="17" borderId="42" xfId="0" applyFont="1" applyFill="1" applyBorder="1" applyAlignment="1">
      <alignment horizontal="right"/>
    </xf>
    <xf numFmtId="168" fontId="25" fillId="13" borderId="43" xfId="0" applyNumberFormat="1" applyFont="1" applyFill="1" applyBorder="1" applyAlignment="1">
      <alignment horizontal="right"/>
    </xf>
    <xf numFmtId="168" fontId="25" fillId="13" borderId="44" xfId="0" applyNumberFormat="1" applyFont="1" applyFill="1" applyBorder="1"/>
    <xf numFmtId="168" fontId="25" fillId="13" borderId="43" xfId="0" applyNumberFormat="1" applyFont="1" applyFill="1" applyBorder="1"/>
    <xf numFmtId="0" fontId="4" fillId="9" borderId="1" xfId="0" applyFont="1" applyFill="1" applyBorder="1"/>
    <xf numFmtId="0" fontId="40" fillId="9" borderId="0" xfId="0" applyFont="1" applyFill="1"/>
    <xf numFmtId="183" fontId="11" fillId="3" borderId="1" xfId="0" applyNumberFormat="1" applyFont="1" applyFill="1" applyBorder="1"/>
    <xf numFmtId="183" fontId="9" fillId="6" borderId="1" xfId="0" applyNumberFormat="1" applyFont="1" applyFill="1" applyBorder="1"/>
    <xf numFmtId="183" fontId="13" fillId="3" borderId="1" xfId="0" applyNumberFormat="1" applyFont="1" applyFill="1" applyBorder="1"/>
    <xf numFmtId="183" fontId="25" fillId="6" borderId="1" xfId="0" applyNumberFormat="1" applyFont="1" applyFill="1" applyBorder="1"/>
    <xf numFmtId="176" fontId="7" fillId="3" borderId="1" xfId="0" applyNumberFormat="1" applyFont="1" applyFill="1" applyBorder="1"/>
    <xf numFmtId="176" fontId="43" fillId="12" borderId="0" xfId="0" applyNumberFormat="1" applyFont="1" applyFill="1"/>
    <xf numFmtId="176" fontId="48" fillId="12" borderId="1" xfId="0" applyNumberFormat="1" applyFont="1" applyFill="1" applyBorder="1"/>
    <xf numFmtId="0" fontId="6" fillId="13" borderId="45" xfId="0" applyFont="1" applyFill="1" applyBorder="1"/>
    <xf numFmtId="0" fontId="10" fillId="13" borderId="45" xfId="0" applyFont="1" applyFill="1" applyBorder="1"/>
    <xf numFmtId="183" fontId="13" fillId="13" borderId="45" xfId="0" applyNumberFormat="1" applyFont="1" applyFill="1" applyBorder="1"/>
    <xf numFmtId="183" fontId="10" fillId="13" borderId="45" xfId="0" applyNumberFormat="1" applyFont="1" applyFill="1" applyBorder="1"/>
    <xf numFmtId="183" fontId="25" fillId="13" borderId="45" xfId="0" applyNumberFormat="1" applyFont="1" applyFill="1" applyBorder="1"/>
    <xf numFmtId="0" fontId="16" fillId="3" borderId="20" xfId="0" applyFont="1" applyFill="1" applyBorder="1"/>
    <xf numFmtId="176" fontId="16" fillId="3" borderId="20" xfId="0" applyNumberFormat="1" applyFont="1" applyFill="1" applyBorder="1"/>
    <xf numFmtId="176" fontId="7" fillId="3" borderId="27" xfId="0" applyNumberFormat="1" applyFont="1" applyFill="1" applyBorder="1"/>
    <xf numFmtId="183" fontId="12" fillId="3" borderId="1" xfId="0" applyNumberFormat="1" applyFont="1" applyFill="1" applyBorder="1"/>
    <xf numFmtId="176" fontId="8" fillId="12" borderId="1" xfId="0" applyNumberFormat="1" applyFont="1" applyFill="1" applyBorder="1"/>
    <xf numFmtId="0" fontId="56" fillId="13" borderId="23" xfId="0" applyFont="1" applyFill="1" applyBorder="1"/>
    <xf numFmtId="0" fontId="10" fillId="13" borderId="23" xfId="0" applyFont="1" applyFill="1" applyBorder="1"/>
    <xf numFmtId="183" fontId="56" fillId="13" borderId="23" xfId="0" applyNumberFormat="1" applyFont="1" applyFill="1" applyBorder="1"/>
    <xf numFmtId="183" fontId="16" fillId="13" borderId="23" xfId="0" applyNumberFormat="1" applyFont="1" applyFill="1" applyBorder="1"/>
    <xf numFmtId="176" fontId="7" fillId="3" borderId="17" xfId="0" applyNumberFormat="1" applyFont="1" applyFill="1" applyBorder="1"/>
    <xf numFmtId="183" fontId="15" fillId="3" borderId="11" xfId="0" applyNumberFormat="1" applyFont="1" applyFill="1" applyBorder="1"/>
    <xf numFmtId="183" fontId="7" fillId="3" borderId="11" xfId="0" applyNumberFormat="1" applyFont="1" applyFill="1" applyBorder="1"/>
    <xf numFmtId="183" fontId="7" fillId="3" borderId="28" xfId="0" applyNumberFormat="1" applyFont="1" applyFill="1" applyBorder="1"/>
    <xf numFmtId="0" fontId="10" fillId="13" borderId="46" xfId="0" applyFont="1" applyFill="1" applyBorder="1"/>
    <xf numFmtId="183" fontId="8" fillId="13" borderId="46" xfId="0" applyNumberFormat="1" applyFont="1" applyFill="1" applyBorder="1"/>
    <xf numFmtId="176" fontId="7" fillId="12" borderId="20" xfId="0" applyNumberFormat="1" applyFont="1" applyFill="1" applyBorder="1"/>
    <xf numFmtId="0" fontId="25" fillId="13" borderId="36" xfId="0" applyFont="1" applyFill="1" applyBorder="1"/>
    <xf numFmtId="183" fontId="32" fillId="13" borderId="46" xfId="0" applyNumberFormat="1" applyFont="1" applyFill="1" applyBorder="1"/>
    <xf numFmtId="183" fontId="57" fillId="13" borderId="23" xfId="0" applyNumberFormat="1" applyFont="1" applyFill="1" applyBorder="1"/>
    <xf numFmtId="0" fontId="58" fillId="0" borderId="0" xfId="0" applyFont="1"/>
    <xf numFmtId="168" fontId="31" fillId="16" borderId="20" xfId="0" applyNumberFormat="1" applyFont="1" applyFill="1" applyBorder="1" applyAlignment="1">
      <alignment horizontal="center"/>
    </xf>
    <xf numFmtId="176" fontId="59" fillId="12" borderId="1" xfId="0" applyNumberFormat="1" applyFont="1" applyFill="1" applyBorder="1"/>
    <xf numFmtId="183" fontId="60" fillId="12" borderId="0" xfId="0" applyNumberFormat="1" applyFont="1" applyFill="1"/>
    <xf numFmtId="183" fontId="61" fillId="12" borderId="1" xfId="0" applyNumberFormat="1" applyFont="1" applyFill="1" applyBorder="1"/>
    <xf numFmtId="183" fontId="62" fillId="12" borderId="1" xfId="0" applyNumberFormat="1" applyFont="1" applyFill="1" applyBorder="1"/>
    <xf numFmtId="176" fontId="11" fillId="3" borderId="1" xfId="0" applyNumberFormat="1" applyFont="1" applyFill="1" applyBorder="1" applyAlignment="1">
      <alignment horizontal="center"/>
    </xf>
    <xf numFmtId="176" fontId="11" fillId="3" borderId="1" xfId="0" applyNumberFormat="1" applyFont="1" applyFill="1" applyBorder="1"/>
    <xf numFmtId="176" fontId="4" fillId="3" borderId="1" xfId="0" applyNumberFormat="1" applyFont="1" applyFill="1" applyBorder="1"/>
    <xf numFmtId="176" fontId="9" fillId="3" borderId="1" xfId="0" applyNumberFormat="1" applyFont="1" applyFill="1" applyBorder="1"/>
    <xf numFmtId="176" fontId="18" fillId="3" borderId="1" xfId="0" applyNumberFormat="1" applyFont="1" applyFill="1" applyBorder="1" applyAlignment="1">
      <alignment horizontal="center"/>
    </xf>
    <xf numFmtId="183" fontId="11" fillId="3" borderId="38" xfId="0" applyNumberFormat="1" applyFont="1" applyFill="1" applyBorder="1"/>
    <xf numFmtId="176" fontId="7" fillId="3" borderId="38" xfId="0" applyNumberFormat="1" applyFont="1" applyFill="1" applyBorder="1"/>
    <xf numFmtId="0" fontId="4" fillId="3" borderId="38" xfId="0" applyFont="1" applyFill="1" applyBorder="1"/>
    <xf numFmtId="176" fontId="42" fillId="12" borderId="38" xfId="0" applyNumberFormat="1" applyFont="1" applyFill="1" applyBorder="1"/>
    <xf numFmtId="183" fontId="13" fillId="3" borderId="38" xfId="0" applyNumberFormat="1" applyFont="1" applyFill="1" applyBorder="1"/>
    <xf numFmtId="183" fontId="13" fillId="13" borderId="47" xfId="0" applyNumberFormat="1" applyFont="1" applyFill="1" applyBorder="1"/>
    <xf numFmtId="176" fontId="16" fillId="3" borderId="38" xfId="0" applyNumberFormat="1" applyFont="1" applyFill="1" applyBorder="1"/>
    <xf numFmtId="176" fontId="7" fillId="3" borderId="48" xfId="0" applyNumberFormat="1" applyFont="1" applyFill="1" applyBorder="1"/>
    <xf numFmtId="167" fontId="11" fillId="3" borderId="38" xfId="0" applyNumberFormat="1" applyFont="1" applyFill="1" applyBorder="1"/>
    <xf numFmtId="183" fontId="7" fillId="3" borderId="38" xfId="0" applyNumberFormat="1" applyFont="1" applyFill="1" applyBorder="1"/>
    <xf numFmtId="183" fontId="16" fillId="13" borderId="50" xfId="0" applyNumberFormat="1" applyFont="1" applyFill="1" applyBorder="1"/>
    <xf numFmtId="167" fontId="11" fillId="5" borderId="38" xfId="0" applyNumberFormat="1" applyFont="1" applyFill="1" applyBorder="1"/>
    <xf numFmtId="167" fontId="13" fillId="7" borderId="51" xfId="0" applyNumberFormat="1" applyFont="1" applyFill="1" applyBorder="1"/>
    <xf numFmtId="167" fontId="13" fillId="7" borderId="32" xfId="0" applyNumberFormat="1" applyFont="1" applyFill="1" applyBorder="1"/>
    <xf numFmtId="183" fontId="7" fillId="3" borderId="52" xfId="0" applyNumberFormat="1" applyFont="1" applyFill="1" applyBorder="1"/>
    <xf numFmtId="0" fontId="4" fillId="3" borderId="53" xfId="0" applyFont="1" applyFill="1" applyBorder="1"/>
    <xf numFmtId="183" fontId="8" fillId="13" borderId="54" xfId="0" applyNumberFormat="1" applyFont="1" applyFill="1" applyBorder="1"/>
    <xf numFmtId="176" fontId="7" fillId="12" borderId="49" xfId="0" applyNumberFormat="1" applyFont="1" applyFill="1" applyBorder="1"/>
    <xf numFmtId="171" fontId="12" fillId="7" borderId="38" xfId="0" applyNumberFormat="1" applyFont="1" applyFill="1" applyBorder="1"/>
    <xf numFmtId="167" fontId="11" fillId="7" borderId="32" xfId="0" applyNumberFormat="1" applyFont="1" applyFill="1" applyBorder="1"/>
    <xf numFmtId="167" fontId="13" fillId="3" borderId="53" xfId="0" applyNumberFormat="1" applyFont="1" applyFill="1" applyBorder="1"/>
    <xf numFmtId="171" fontId="7" fillId="3" borderId="55" xfId="0" applyNumberFormat="1" applyFont="1" applyFill="1" applyBorder="1"/>
    <xf numFmtId="167" fontId="4" fillId="3" borderId="38" xfId="0" applyNumberFormat="1" applyFont="1" applyFill="1" applyBorder="1"/>
    <xf numFmtId="167" fontId="13" fillId="3" borderId="56" xfId="0" applyNumberFormat="1" applyFont="1" applyFill="1" applyBorder="1"/>
    <xf numFmtId="167" fontId="10" fillId="3" borderId="56" xfId="0" applyNumberFormat="1" applyFont="1" applyFill="1" applyBorder="1"/>
    <xf numFmtId="0" fontId="4" fillId="4" borderId="38" xfId="0" applyFont="1" applyFill="1" applyBorder="1"/>
    <xf numFmtId="0" fontId="6" fillId="3" borderId="33" xfId="0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6" fillId="14" borderId="34" xfId="0" applyFont="1" applyFill="1" applyBorder="1" applyAlignment="1">
      <alignment horizontal="center"/>
    </xf>
    <xf numFmtId="0" fontId="6" fillId="14" borderId="35" xfId="0" applyFont="1" applyFill="1" applyBorder="1" applyAlignment="1">
      <alignment horizontal="center"/>
    </xf>
    <xf numFmtId="0" fontId="63" fillId="9" borderId="20" xfId="0" applyFont="1" applyFill="1" applyBorder="1"/>
    <xf numFmtId="0" fontId="54" fillId="3" borderId="1" xfId="0" applyFont="1" applyFill="1" applyBorder="1" applyAlignment="1">
      <alignment horizontal="center"/>
    </xf>
    <xf numFmtId="0" fontId="55" fillId="3" borderId="1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left" vertical="center" wrapText="1"/>
    </xf>
    <xf numFmtId="0" fontId="24" fillId="0" borderId="19" xfId="0" applyFont="1" applyBorder="1"/>
    <xf numFmtId="0" fontId="24" fillId="0" borderId="20" xfId="0" applyFont="1" applyBorder="1"/>
  </cellXfs>
  <cellStyles count="1">
    <cellStyle name="Normal" xfId="0" builtinId="0"/>
  </cellStyles>
  <dxfs count="16">
    <dxf>
      <numFmt numFmtId="176" formatCode="0.0%;[Red]\(0.0%\);\-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Share_Count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Annual_Financials-style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KPIs-style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Revenue_Geo-style" pivot="0" count="3" xr9:uid="{00000000-0011-0000-FFFF-FFFF03000000}">
      <tableStyleElement type="headerRow" dxfId="6"/>
      <tableStyleElement type="firstRowStripe" dxfId="5"/>
      <tableStyleElement type="secondRowStripe" dxfId="4"/>
    </tableStyle>
    <tableStyle name="Checks-style" pivot="0" count="3" xr9:uid="{00000000-0011-0000-FFFF-FFFF04000000}">
      <tableStyleElement type="headerRow" dxfId="3"/>
      <tableStyleElement type="firstRowStripe" dxfId="2"/>
      <tableStyleElement type="secondRowStripe" dxfId="1"/>
    </tableStyle>
  </tableStyles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20">
  <tableColumns count="8">
    <tableColumn id="1" xr3:uid="{00000000-0010-0000-0000-000001000000}" name="Category"/>
    <tableColumn id="2" xr3:uid="{00000000-0010-0000-0000-000002000000}" name="Component"/>
    <tableColumn id="3" xr3:uid="{00000000-0010-0000-0000-000003000000}" name="Class"/>
    <tableColumn id="4" xr3:uid="{00000000-0010-0000-0000-000004000000}" name="Known Shares"/>
    <tableColumn id="5" xr3:uid="{00000000-0010-0000-0000-000005000000}" name="Include in User-Specified Total?"/>
    <tableColumn id="6" xr3:uid="{00000000-0010-0000-0000-000006000000}" name="Include in Full Diluted Total?"/>
    <tableColumn id="7" xr3:uid="{00000000-0010-0000-0000-000007000000}" name="Status"/>
    <tableColumn id="8" xr3:uid="{00000000-0010-0000-0000-000008000000}" name="Source / Notes"/>
  </tableColumns>
  <tableStyleInfo name="Share_Cou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H90">
  <tableColumns count="8">
    <tableColumn id="1" xr3:uid="{00000000-0010-0000-0100-000001000000}" name="Section"/>
    <tableColumn id="2" xr3:uid="{00000000-0010-0000-0100-000002000000}" name="Metric"/>
    <tableColumn id="3" xr3:uid="{00000000-0010-0000-0100-000003000000}" name="Units"/>
    <tableColumn id="4" xr3:uid="{00000000-0010-0000-0100-000004000000}" name="FY 2025"/>
    <tableColumn id="5" xr3:uid="{00000000-0010-0000-0100-000005000000}" name="FY 2024"/>
    <tableColumn id="6" xr3:uid="{00000000-0010-0000-0100-000006000000}" name="FY 2023"/>
    <tableColumn id="7" xr3:uid="{00000000-0010-0000-0100-000007000000}" name="YoY % (25/24)"/>
    <tableColumn id="8" xr3:uid="{00000000-0010-0000-0100-000008000000}" name="Source / Notes"/>
  </tableColumns>
  <tableStyleInfo name="Annual_Financial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:G45">
  <tableColumns count="7">
    <tableColumn id="1" xr3:uid="{00000000-0010-0000-0200-000001000000}" name="Metric"/>
    <tableColumn id="2" xr3:uid="{00000000-0010-0000-0200-000002000000}" name="Units"/>
    <tableColumn id="3" xr3:uid="{00000000-0010-0000-0200-000003000000}" name="FY 2025" dataDxfId="0">
      <calculatedColumnFormula>Annual_Financials!D6/Annual_Financials!E6-1</calculatedColumnFormula>
    </tableColumn>
    <tableColumn id="4" xr3:uid="{00000000-0010-0000-0200-000004000000}" name="FY 2024"/>
    <tableColumn id="5" xr3:uid="{00000000-0010-0000-0200-000005000000}" name="FY 2023"/>
    <tableColumn id="6" xr3:uid="{00000000-0010-0000-0200-000006000000}" name="Notes / Formula"/>
    <tableColumn id="7" xr3:uid="{DC0B4B35-7869-874C-835C-BB0D0166F3CA}" name="Source"/>
  </tableColumns>
  <tableStyleInfo name="KPI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:E32">
  <tableColumns count="5">
    <tableColumn id="1" xr3:uid="{00000000-0010-0000-0400-000001000000}" name="Check"/>
    <tableColumn id="2" xr3:uid="{00000000-0010-0000-0400-000002000000}" name="Formula / Basis"/>
    <tableColumn id="3" xr3:uid="{00000000-0010-0000-0400-000003000000}" name="Result"/>
    <tableColumn id="4" xr3:uid="{00000000-0010-0000-0400-000004000000}" name="Expected / Interpretation"/>
    <tableColumn id="5" xr3:uid="{00000000-0010-0000-0400-000005000000}" name="Status"/>
  </tableColumns>
  <tableStyleInfo name="Check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12BCE3-A63D-0841-8AD0-F882F66388F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a49c21-444d-4a3d-aad9-97ffcc3bc1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AC4-F2AB-D446-8D28-FD15CCD6CC56}">
  <dimension ref="A1:D30"/>
  <sheetViews>
    <sheetView workbookViewId="0">
      <selection activeCell="N21" sqref="N21"/>
    </sheetView>
  </sheetViews>
  <sheetFormatPr baseColWidth="10" defaultRowHeight="15"/>
  <cols>
    <col min="1" max="1" width="36.6640625" customWidth="1"/>
    <col min="2" max="2" width="3.33203125" customWidth="1"/>
    <col min="3" max="3" width="36.6640625" customWidth="1"/>
    <col min="4" max="4" width="58.33203125" customWidth="1"/>
  </cols>
  <sheetData>
    <row r="1" spans="1:4" ht="18">
      <c r="A1" s="136" t="s">
        <v>212</v>
      </c>
    </row>
    <row r="2" spans="1:4">
      <c r="A2" s="137" t="s">
        <v>213</v>
      </c>
    </row>
    <row r="4" spans="1:4">
      <c r="A4" s="139" t="s">
        <v>214</v>
      </c>
      <c r="B4" s="140"/>
      <c r="C4" s="140"/>
      <c r="D4" s="139" t="s">
        <v>141</v>
      </c>
    </row>
    <row r="5" spans="1:4">
      <c r="A5" t="s">
        <v>215</v>
      </c>
      <c r="C5" s="141" t="s">
        <v>260</v>
      </c>
      <c r="D5" s="137" t="s">
        <v>216</v>
      </c>
    </row>
    <row r="6" spans="1:4">
      <c r="A6" t="s">
        <v>217</v>
      </c>
      <c r="C6" s="141" t="s">
        <v>261</v>
      </c>
    </row>
    <row r="7" spans="1:4">
      <c r="A7" t="s">
        <v>218</v>
      </c>
      <c r="C7" s="141" t="s">
        <v>262</v>
      </c>
    </row>
    <row r="8" spans="1:4">
      <c r="A8" t="s">
        <v>219</v>
      </c>
      <c r="C8" s="141" t="s">
        <v>263</v>
      </c>
    </row>
    <row r="9" spans="1:4">
      <c r="A9" t="s">
        <v>220</v>
      </c>
      <c r="C9" s="142" t="s">
        <v>264</v>
      </c>
    </row>
    <row r="11" spans="1:4">
      <c r="A11" s="139" t="s">
        <v>221</v>
      </c>
      <c r="B11" s="140"/>
      <c r="C11" s="140"/>
      <c r="D11" s="139" t="s">
        <v>141</v>
      </c>
    </row>
    <row r="12" spans="1:4">
      <c r="A12" t="s">
        <v>448</v>
      </c>
      <c r="C12" s="143" t="s">
        <v>36</v>
      </c>
      <c r="D12" s="137" t="s">
        <v>222</v>
      </c>
    </row>
    <row r="13" spans="1:4">
      <c r="A13" t="s">
        <v>223</v>
      </c>
      <c r="C13" s="144" t="s">
        <v>35</v>
      </c>
    </row>
    <row r="14" spans="1:4">
      <c r="A14" t="s">
        <v>224</v>
      </c>
      <c r="C14" s="144" t="s">
        <v>37</v>
      </c>
    </row>
    <row r="15" spans="1:4">
      <c r="A15" t="s">
        <v>225</v>
      </c>
      <c r="C15" s="144" t="s">
        <v>38</v>
      </c>
    </row>
    <row r="16" spans="1:4">
      <c r="A16" t="s">
        <v>226</v>
      </c>
      <c r="C16" s="144" t="s">
        <v>39</v>
      </c>
    </row>
    <row r="17" spans="1:4">
      <c r="A17" t="s">
        <v>227</v>
      </c>
      <c r="C17" s="144" t="s">
        <v>40</v>
      </c>
    </row>
    <row r="19" spans="1:4">
      <c r="A19" s="139" t="s">
        <v>228</v>
      </c>
      <c r="B19" s="140"/>
      <c r="C19" s="140"/>
      <c r="D19" s="139" t="s">
        <v>141</v>
      </c>
    </row>
    <row r="20" spans="1:4">
      <c r="A20" t="s">
        <v>229</v>
      </c>
      <c r="C20" s="141" t="s">
        <v>265</v>
      </c>
    </row>
    <row r="21" spans="1:4">
      <c r="A21" t="s">
        <v>230</v>
      </c>
      <c r="C21" s="141" t="s">
        <v>266</v>
      </c>
    </row>
    <row r="22" spans="1:4">
      <c r="A22" t="s">
        <v>231</v>
      </c>
      <c r="C22" s="143">
        <v>180</v>
      </c>
    </row>
    <row r="23" spans="1:4">
      <c r="A23" t="s">
        <v>232</v>
      </c>
      <c r="C23" s="145">
        <v>0.15</v>
      </c>
      <c r="D23" s="137" t="s">
        <v>233</v>
      </c>
    </row>
    <row r="24" spans="1:4">
      <c r="A24" t="s">
        <v>234</v>
      </c>
      <c r="C24" s="145">
        <v>7.0000000000000007E-2</v>
      </c>
      <c r="D24" s="137" t="s">
        <v>235</v>
      </c>
    </row>
    <row r="26" spans="1:4">
      <c r="A26" s="139" t="s">
        <v>236</v>
      </c>
      <c r="B26" s="140"/>
      <c r="C26" s="140"/>
      <c r="D26" s="140"/>
    </row>
    <row r="27" spans="1:4">
      <c r="A27" s="141" t="s">
        <v>237</v>
      </c>
      <c r="C27" t="s">
        <v>238</v>
      </c>
    </row>
    <row r="28" spans="1:4">
      <c r="A28" s="138" t="s">
        <v>239</v>
      </c>
      <c r="C28" t="s">
        <v>240</v>
      </c>
    </row>
    <row r="29" spans="1:4">
      <c r="A29" s="146" t="s">
        <v>241</v>
      </c>
      <c r="C29" t="s">
        <v>242</v>
      </c>
    </row>
    <row r="30" spans="1:4">
      <c r="A30" s="147" t="s">
        <v>243</v>
      </c>
      <c r="C30" t="s">
        <v>244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1" ht="33">
      <c r="A1" s="1" t="s">
        <v>0</v>
      </c>
    </row>
    <row r="2" spans="1:1" ht="33">
      <c r="A2" s="1" t="s">
        <v>1</v>
      </c>
    </row>
    <row r="3" spans="1:1" ht="23">
      <c r="A3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7CEE-538F-0248-AA06-0F3ABC5975BA}">
  <dimension ref="A1:E110"/>
  <sheetViews>
    <sheetView workbookViewId="0">
      <selection activeCell="B17" sqref="B17"/>
    </sheetView>
  </sheetViews>
  <sheetFormatPr baseColWidth="10" defaultRowHeight="15"/>
  <cols>
    <col min="1" max="1" width="36.6640625" customWidth="1"/>
    <col min="2" max="2" width="30" customWidth="1"/>
    <col min="3" max="3" width="26.6640625" customWidth="1"/>
    <col min="4" max="4" width="53.33203125" customWidth="1"/>
    <col min="5" max="5" width="30" customWidth="1"/>
  </cols>
  <sheetData>
    <row r="1" spans="1:5" ht="18">
      <c r="A1" s="136" t="s">
        <v>518</v>
      </c>
      <c r="B1" s="229"/>
      <c r="C1" s="229"/>
      <c r="D1" s="229"/>
      <c r="E1" s="229"/>
    </row>
    <row r="2" spans="1:5">
      <c r="A2" s="137" t="s">
        <v>519</v>
      </c>
    </row>
    <row r="4" spans="1:5">
      <c r="A4" s="222" t="s">
        <v>520</v>
      </c>
      <c r="B4" s="229"/>
      <c r="C4" s="229"/>
      <c r="D4" s="229"/>
      <c r="E4" s="229"/>
    </row>
    <row r="5" spans="1:5">
      <c r="A5" s="137" t="s">
        <v>521</v>
      </c>
    </row>
    <row r="7" spans="1:5">
      <c r="A7" s="139" t="s">
        <v>522</v>
      </c>
      <c r="B7" s="139" t="s">
        <v>523</v>
      </c>
      <c r="C7" s="139" t="s">
        <v>524</v>
      </c>
      <c r="D7" s="139" t="s">
        <v>525</v>
      </c>
      <c r="E7" s="139"/>
    </row>
    <row r="8" spans="1:5">
      <c r="A8" t="s">
        <v>526</v>
      </c>
      <c r="B8" s="230">
        <v>370</v>
      </c>
      <c r="C8" s="231">
        <f>B8/$B$11</f>
        <v>1.3009845288326301E-2</v>
      </c>
      <c r="D8" t="s">
        <v>527</v>
      </c>
    </row>
    <row r="9" spans="1:5">
      <c r="A9" t="s">
        <v>528</v>
      </c>
      <c r="B9" s="230">
        <v>1610</v>
      </c>
      <c r="C9" s="231">
        <f>B9/$B$11</f>
        <v>5.6610407876230659E-2</v>
      </c>
      <c r="D9" t="s">
        <v>529</v>
      </c>
    </row>
    <row r="10" spans="1:5">
      <c r="A10" t="s">
        <v>530</v>
      </c>
      <c r="B10" s="230">
        <v>26460</v>
      </c>
      <c r="C10" s="231">
        <f>B10/$B$11</f>
        <v>0.930379746835443</v>
      </c>
      <c r="D10" t="s">
        <v>531</v>
      </c>
    </row>
    <row r="11" spans="1:5">
      <c r="A11" s="224" t="s">
        <v>532</v>
      </c>
      <c r="B11" s="225">
        <f>SUM(B8:B10)</f>
        <v>28440</v>
      </c>
      <c r="C11" s="226">
        <f>B11/$B$11</f>
        <v>1</v>
      </c>
      <c r="D11" s="224" t="s">
        <v>533</v>
      </c>
    </row>
    <row r="12" spans="1:5">
      <c r="A12" t="s">
        <v>534</v>
      </c>
      <c r="B12" s="230">
        <v>28500</v>
      </c>
    </row>
    <row r="13" spans="1:5">
      <c r="A13" t="s">
        <v>535</v>
      </c>
      <c r="B13" s="230">
        <f>B12-B11</f>
        <v>60</v>
      </c>
    </row>
    <row r="15" spans="1:5">
      <c r="A15" s="222" t="s">
        <v>536</v>
      </c>
      <c r="B15" s="229"/>
      <c r="C15" s="229"/>
      <c r="D15" s="229"/>
      <c r="E15" s="229"/>
    </row>
    <row r="16" spans="1:5">
      <c r="A16" s="137"/>
    </row>
    <row r="17" spans="1:5">
      <c r="A17" s="139" t="s">
        <v>537</v>
      </c>
      <c r="B17" s="139" t="s">
        <v>523</v>
      </c>
      <c r="C17" s="139" t="s">
        <v>538</v>
      </c>
      <c r="D17" s="139" t="s">
        <v>539</v>
      </c>
      <c r="E17" s="139"/>
    </row>
    <row r="18" spans="1:5">
      <c r="A18" t="s">
        <v>540</v>
      </c>
      <c r="B18" s="230">
        <v>370</v>
      </c>
      <c r="C18" t="s">
        <v>526</v>
      </c>
      <c r="D18" t="s">
        <v>541</v>
      </c>
    </row>
    <row r="19" spans="1:5">
      <c r="A19" t="s">
        <v>542</v>
      </c>
      <c r="B19" s="230">
        <v>660</v>
      </c>
      <c r="C19" t="s">
        <v>528</v>
      </c>
      <c r="D19" t="s">
        <v>543</v>
      </c>
    </row>
    <row r="20" spans="1:5">
      <c r="A20" t="s">
        <v>544</v>
      </c>
      <c r="B20" s="230">
        <v>200</v>
      </c>
      <c r="C20" t="s">
        <v>528</v>
      </c>
      <c r="D20" t="s">
        <v>545</v>
      </c>
    </row>
    <row r="21" spans="1:5">
      <c r="A21" t="s">
        <v>546</v>
      </c>
      <c r="B21" s="230">
        <v>5</v>
      </c>
      <c r="C21" t="s">
        <v>528</v>
      </c>
      <c r="D21" t="s">
        <v>547</v>
      </c>
    </row>
    <row r="22" spans="1:5">
      <c r="A22" t="s">
        <v>548</v>
      </c>
      <c r="B22" s="230">
        <v>740</v>
      </c>
      <c r="C22" t="s">
        <v>528</v>
      </c>
      <c r="D22" t="s">
        <v>549</v>
      </c>
    </row>
    <row r="23" spans="1:5">
      <c r="A23" t="s">
        <v>550</v>
      </c>
      <c r="B23" s="230">
        <v>2400</v>
      </c>
      <c r="C23" t="s">
        <v>530</v>
      </c>
      <c r="D23" t="s">
        <v>551</v>
      </c>
    </row>
    <row r="24" spans="1:5">
      <c r="A24" t="s">
        <v>552</v>
      </c>
      <c r="B24" s="230">
        <v>760</v>
      </c>
      <c r="C24" t="s">
        <v>530</v>
      </c>
      <c r="D24" t="s">
        <v>553</v>
      </c>
    </row>
    <row r="25" spans="1:5">
      <c r="A25" t="s">
        <v>554</v>
      </c>
      <c r="B25" s="230">
        <v>600</v>
      </c>
      <c r="C25" t="s">
        <v>530</v>
      </c>
      <c r="D25" t="s">
        <v>555</v>
      </c>
    </row>
    <row r="26" spans="1:5">
      <c r="A26" t="s">
        <v>556</v>
      </c>
      <c r="B26" s="230">
        <v>22700</v>
      </c>
      <c r="C26" t="s">
        <v>530</v>
      </c>
      <c r="D26" t="s">
        <v>557</v>
      </c>
    </row>
    <row r="27" spans="1:5">
      <c r="A27" s="224" t="s">
        <v>558</v>
      </c>
      <c r="B27" s="225">
        <f>SUM(B18:B26)</f>
        <v>28435</v>
      </c>
      <c r="C27" s="224"/>
      <c r="D27" s="224" t="s">
        <v>559</v>
      </c>
    </row>
    <row r="29" spans="1:5">
      <c r="A29" s="222" t="s">
        <v>560</v>
      </c>
      <c r="B29" s="229"/>
      <c r="C29" s="229"/>
      <c r="D29" s="229"/>
      <c r="E29" s="229"/>
    </row>
    <row r="30" spans="1:5">
      <c r="A30" s="137"/>
    </row>
    <row r="31" spans="1:5">
      <c r="A31" s="223" t="s">
        <v>561</v>
      </c>
      <c r="B31" s="223" t="s">
        <v>562</v>
      </c>
      <c r="C31" s="223" t="s">
        <v>563</v>
      </c>
      <c r="D31" s="223" t="s">
        <v>141</v>
      </c>
    </row>
    <row r="32" spans="1:5">
      <c r="B32" t="s">
        <v>564</v>
      </c>
      <c r="C32" s="232">
        <v>1.8</v>
      </c>
      <c r="D32" t="s">
        <v>565</v>
      </c>
    </row>
    <row r="33" spans="1:4">
      <c r="B33" t="s">
        <v>566</v>
      </c>
      <c r="C33" s="232">
        <v>31</v>
      </c>
      <c r="D33" t="s">
        <v>567</v>
      </c>
    </row>
    <row r="34" spans="1:4">
      <c r="B34" t="s">
        <v>568</v>
      </c>
      <c r="C34" s="232">
        <v>43</v>
      </c>
      <c r="D34" t="s">
        <v>567</v>
      </c>
    </row>
    <row r="35" spans="1:4">
      <c r="B35" t="s">
        <v>569</v>
      </c>
      <c r="C35" s="232">
        <v>16</v>
      </c>
      <c r="D35" t="s">
        <v>567</v>
      </c>
    </row>
    <row r="36" spans="1:4">
      <c r="B36" t="s">
        <v>570</v>
      </c>
      <c r="C36" s="232">
        <v>9</v>
      </c>
      <c r="D36" t="s">
        <v>567</v>
      </c>
    </row>
    <row r="37" spans="1:4">
      <c r="B37" t="s">
        <v>571</v>
      </c>
      <c r="C37" s="227">
        <f>C32*C33*12</f>
        <v>669.6</v>
      </c>
      <c r="D37" s="223" t="s">
        <v>572</v>
      </c>
    </row>
    <row r="38" spans="1:4">
      <c r="B38" t="s">
        <v>573</v>
      </c>
      <c r="C38" s="228">
        <v>660</v>
      </c>
      <c r="D38" s="138" t="s">
        <v>574</v>
      </c>
    </row>
    <row r="40" spans="1:4">
      <c r="A40" s="223" t="s">
        <v>548</v>
      </c>
      <c r="B40" s="223" t="s">
        <v>562</v>
      </c>
      <c r="C40" s="223" t="s">
        <v>563</v>
      </c>
      <c r="D40" s="223" t="s">
        <v>141</v>
      </c>
    </row>
    <row r="41" spans="1:4">
      <c r="B41" t="s">
        <v>575</v>
      </c>
      <c r="C41" s="232">
        <v>8</v>
      </c>
      <c r="D41" t="s">
        <v>565</v>
      </c>
    </row>
    <row r="42" spans="1:4">
      <c r="B42" t="s">
        <v>566</v>
      </c>
      <c r="C42" s="232">
        <v>8</v>
      </c>
      <c r="D42" t="s">
        <v>567</v>
      </c>
    </row>
    <row r="43" spans="1:4">
      <c r="B43" t="s">
        <v>568</v>
      </c>
      <c r="C43" s="232">
        <v>18</v>
      </c>
      <c r="D43" t="s">
        <v>567</v>
      </c>
    </row>
    <row r="44" spans="1:4">
      <c r="B44" t="s">
        <v>569</v>
      </c>
      <c r="C44" s="232">
        <v>5</v>
      </c>
      <c r="D44" t="s">
        <v>567</v>
      </c>
    </row>
    <row r="45" spans="1:4">
      <c r="B45" t="s">
        <v>570</v>
      </c>
      <c r="C45" s="232">
        <v>2</v>
      </c>
      <c r="D45" t="s">
        <v>567</v>
      </c>
    </row>
    <row r="46" spans="1:4">
      <c r="B46" t="s">
        <v>571</v>
      </c>
      <c r="C46" s="227">
        <f>C41*C42*12</f>
        <v>768</v>
      </c>
      <c r="D46" s="223" t="s">
        <v>576</v>
      </c>
    </row>
    <row r="47" spans="1:4">
      <c r="B47" t="s">
        <v>573</v>
      </c>
      <c r="C47" s="228">
        <v>740</v>
      </c>
      <c r="D47" s="138" t="s">
        <v>577</v>
      </c>
    </row>
    <row r="49" spans="1:4">
      <c r="A49" s="223" t="s">
        <v>550</v>
      </c>
      <c r="B49" s="223" t="s">
        <v>562</v>
      </c>
      <c r="C49" s="223" t="s">
        <v>563</v>
      </c>
      <c r="D49" s="223" t="s">
        <v>141</v>
      </c>
    </row>
    <row r="50" spans="1:4">
      <c r="B50" t="s">
        <v>578</v>
      </c>
      <c r="C50" s="232">
        <v>235</v>
      </c>
    </row>
    <row r="51" spans="1:4">
      <c r="B51" t="s">
        <v>579</v>
      </c>
      <c r="C51" s="232">
        <v>0.7</v>
      </c>
    </row>
    <row r="52" spans="1:4">
      <c r="B52" t="s">
        <v>580</v>
      </c>
      <c r="C52" s="232">
        <f>C50*C51</f>
        <v>164.5</v>
      </c>
    </row>
    <row r="53" spans="1:4">
      <c r="B53" t="s">
        <v>581</v>
      </c>
      <c r="C53" s="232">
        <v>1.2</v>
      </c>
    </row>
    <row r="54" spans="1:4">
      <c r="B54" t="s">
        <v>582</v>
      </c>
      <c r="C54" s="232">
        <f>C52/C53</f>
        <v>137.08333333333334</v>
      </c>
    </row>
    <row r="55" spans="1:4">
      <c r="B55" t="s">
        <v>583</v>
      </c>
      <c r="C55" s="232">
        <v>1.3</v>
      </c>
    </row>
    <row r="56" spans="1:4">
      <c r="B56" t="s">
        <v>584</v>
      </c>
      <c r="C56" s="232">
        <f>C54*1000/C55</f>
        <v>105448.71794871795</v>
      </c>
    </row>
    <row r="57" spans="1:4">
      <c r="B57" t="s">
        <v>585</v>
      </c>
      <c r="C57" s="232">
        <v>104</v>
      </c>
    </row>
    <row r="58" spans="1:4">
      <c r="B58" t="s">
        <v>586</v>
      </c>
      <c r="C58" s="232">
        <v>0.8</v>
      </c>
    </row>
    <row r="59" spans="1:4">
      <c r="B59" t="s">
        <v>587</v>
      </c>
      <c r="C59" s="232">
        <v>8760</v>
      </c>
    </row>
    <row r="60" spans="1:4">
      <c r="B60" t="s">
        <v>588</v>
      </c>
      <c r="C60" s="232">
        <v>3.33</v>
      </c>
    </row>
    <row r="61" spans="1:4">
      <c r="B61" t="s">
        <v>571</v>
      </c>
      <c r="C61" s="227">
        <f>C57*1000000*C58*C59*C60/1000000000</f>
        <v>2427.0105600000002</v>
      </c>
      <c r="D61" s="223" t="s">
        <v>589</v>
      </c>
    </row>
    <row r="62" spans="1:4">
      <c r="B62" t="s">
        <v>573</v>
      </c>
      <c r="C62" s="228">
        <v>2400</v>
      </c>
      <c r="D62" s="138"/>
    </row>
    <row r="64" spans="1:4">
      <c r="A64" s="223" t="s">
        <v>552</v>
      </c>
      <c r="B64" s="223" t="s">
        <v>562</v>
      </c>
      <c r="C64" s="223" t="s">
        <v>563</v>
      </c>
      <c r="D64" s="223"/>
    </row>
    <row r="65" spans="1:5">
      <c r="B65" t="s">
        <v>590</v>
      </c>
      <c r="C65" s="232">
        <v>5.5</v>
      </c>
    </row>
    <row r="66" spans="1:5">
      <c r="B66" t="s">
        <v>566</v>
      </c>
      <c r="C66" s="232">
        <v>12</v>
      </c>
    </row>
    <row r="67" spans="1:5">
      <c r="B67" t="s">
        <v>571</v>
      </c>
      <c r="C67" s="227">
        <f>C65*C66*12</f>
        <v>792</v>
      </c>
      <c r="D67" s="223"/>
    </row>
    <row r="68" spans="1:5">
      <c r="B68" t="s">
        <v>573</v>
      </c>
      <c r="C68" s="228">
        <v>760</v>
      </c>
      <c r="D68" s="138"/>
    </row>
    <row r="70" spans="1:5">
      <c r="A70" s="222" t="s">
        <v>591</v>
      </c>
      <c r="B70" s="229"/>
      <c r="C70" s="229"/>
      <c r="D70" s="229"/>
      <c r="E70" s="229"/>
    </row>
    <row r="71" spans="1:5">
      <c r="A71" s="137" t="s">
        <v>592</v>
      </c>
    </row>
    <row r="73" spans="1:5">
      <c r="A73" s="139" t="s">
        <v>593</v>
      </c>
      <c r="B73" s="139" t="s">
        <v>594</v>
      </c>
      <c r="C73" s="139" t="s">
        <v>595</v>
      </c>
      <c r="D73" s="139"/>
      <c r="E73" s="139"/>
    </row>
    <row r="74" spans="1:5">
      <c r="A74" t="s">
        <v>596</v>
      </c>
      <c r="B74" t="s">
        <v>597</v>
      </c>
      <c r="C74" t="s">
        <v>598</v>
      </c>
    </row>
    <row r="75" spans="1:5">
      <c r="A75" t="s">
        <v>599</v>
      </c>
      <c r="B75" t="s">
        <v>597</v>
      </c>
      <c r="C75" t="s">
        <v>600</v>
      </c>
    </row>
    <row r="76" spans="1:5">
      <c r="A76" t="s">
        <v>601</v>
      </c>
      <c r="B76" t="s">
        <v>597</v>
      </c>
      <c r="C76" t="s">
        <v>602</v>
      </c>
    </row>
    <row r="77" spans="1:5">
      <c r="A77" t="s">
        <v>603</v>
      </c>
      <c r="B77" t="s">
        <v>597</v>
      </c>
      <c r="C77" t="s">
        <v>604</v>
      </c>
    </row>
    <row r="78" spans="1:5">
      <c r="A78" t="s">
        <v>605</v>
      </c>
      <c r="B78" t="s">
        <v>597</v>
      </c>
      <c r="C78" t="s">
        <v>606</v>
      </c>
    </row>
    <row r="79" spans="1:5">
      <c r="A79" t="s">
        <v>607</v>
      </c>
      <c r="B79" t="s">
        <v>597</v>
      </c>
      <c r="C79" t="s">
        <v>602</v>
      </c>
    </row>
    <row r="80" spans="1:5">
      <c r="A80" t="s">
        <v>608</v>
      </c>
      <c r="B80" t="s">
        <v>597</v>
      </c>
      <c r="C80" t="s">
        <v>609</v>
      </c>
    </row>
    <row r="81" spans="1:5">
      <c r="A81" t="s">
        <v>610</v>
      </c>
      <c r="B81" t="s">
        <v>597</v>
      </c>
      <c r="C81" t="s">
        <v>611</v>
      </c>
    </row>
    <row r="82" spans="1:5">
      <c r="A82" t="s">
        <v>612</v>
      </c>
      <c r="B82" t="s">
        <v>597</v>
      </c>
      <c r="C82" t="s">
        <v>613</v>
      </c>
    </row>
    <row r="83" spans="1:5">
      <c r="A83" t="s">
        <v>614</v>
      </c>
      <c r="B83" t="s">
        <v>597</v>
      </c>
      <c r="C83" t="s">
        <v>615</v>
      </c>
    </row>
    <row r="85" spans="1:5">
      <c r="A85" s="222" t="s">
        <v>616</v>
      </c>
      <c r="B85" s="229"/>
      <c r="C85" s="229"/>
      <c r="D85" s="229"/>
      <c r="E85" s="229"/>
    </row>
    <row r="86" spans="1:5">
      <c r="A86" s="137"/>
    </row>
    <row r="87" spans="1:5">
      <c r="A87" s="139" t="s">
        <v>617</v>
      </c>
      <c r="B87" s="139" t="s">
        <v>618</v>
      </c>
      <c r="C87" s="139"/>
      <c r="D87" s="139"/>
      <c r="E87" s="139"/>
    </row>
    <row r="88" spans="1:5">
      <c r="A88" t="s">
        <v>619</v>
      </c>
      <c r="B88" t="s">
        <v>620</v>
      </c>
    </row>
    <row r="89" spans="1:5">
      <c r="A89" t="s">
        <v>621</v>
      </c>
      <c r="B89" t="s">
        <v>622</v>
      </c>
    </row>
    <row r="90" spans="1:5">
      <c r="A90" t="s">
        <v>623</v>
      </c>
      <c r="B90" t="s">
        <v>624</v>
      </c>
    </row>
    <row r="91" spans="1:5">
      <c r="A91" t="s">
        <v>625</v>
      </c>
      <c r="B91" t="s">
        <v>626</v>
      </c>
    </row>
    <row r="92" spans="1:5">
      <c r="A92" t="s">
        <v>627</v>
      </c>
      <c r="B92" t="s">
        <v>628</v>
      </c>
    </row>
    <row r="93" spans="1:5">
      <c r="A93" t="s">
        <v>629</v>
      </c>
      <c r="B93" t="s">
        <v>630</v>
      </c>
    </row>
    <row r="94" spans="1:5">
      <c r="A94" t="s">
        <v>631</v>
      </c>
      <c r="B94" t="s">
        <v>632</v>
      </c>
    </row>
    <row r="96" spans="1:5">
      <c r="A96" s="222" t="s">
        <v>633</v>
      </c>
      <c r="B96" s="229"/>
      <c r="C96" s="229"/>
      <c r="D96" s="229"/>
      <c r="E96" s="229"/>
    </row>
    <row r="97" spans="1:5">
      <c r="A97" s="137" t="s">
        <v>634</v>
      </c>
    </row>
    <row r="99" spans="1:5">
      <c r="A99" s="139" t="s">
        <v>522</v>
      </c>
      <c r="B99" s="139" t="s">
        <v>635</v>
      </c>
      <c r="C99" s="139" t="s">
        <v>523</v>
      </c>
      <c r="D99" s="139" t="s">
        <v>636</v>
      </c>
      <c r="E99" s="139" t="s">
        <v>637</v>
      </c>
    </row>
    <row r="100" spans="1:5">
      <c r="A100" t="s">
        <v>526</v>
      </c>
      <c r="B100" t="s">
        <v>540</v>
      </c>
      <c r="C100" s="230">
        <v>370</v>
      </c>
      <c r="D100" t="s">
        <v>526</v>
      </c>
      <c r="E100" t="s">
        <v>638</v>
      </c>
    </row>
    <row r="101" spans="1:5">
      <c r="A101" t="s">
        <v>528</v>
      </c>
      <c r="B101" t="s">
        <v>639</v>
      </c>
      <c r="C101" s="230">
        <v>660</v>
      </c>
      <c r="D101" t="s">
        <v>640</v>
      </c>
      <c r="E101" t="s">
        <v>641</v>
      </c>
    </row>
    <row r="102" spans="1:5">
      <c r="A102" t="s">
        <v>528</v>
      </c>
      <c r="B102" t="s">
        <v>642</v>
      </c>
      <c r="C102" s="230">
        <v>200</v>
      </c>
      <c r="D102" t="s">
        <v>643</v>
      </c>
      <c r="E102" t="s">
        <v>638</v>
      </c>
    </row>
    <row r="103" spans="1:5">
      <c r="A103" t="s">
        <v>528</v>
      </c>
      <c r="B103" t="s">
        <v>644</v>
      </c>
      <c r="C103" s="230">
        <v>5</v>
      </c>
      <c r="D103" t="s">
        <v>645</v>
      </c>
      <c r="E103" t="s">
        <v>638</v>
      </c>
    </row>
    <row r="104" spans="1:5">
      <c r="A104" t="s">
        <v>528</v>
      </c>
      <c r="B104" t="s">
        <v>548</v>
      </c>
      <c r="C104" s="230">
        <v>740</v>
      </c>
      <c r="D104" t="s">
        <v>548</v>
      </c>
      <c r="E104" t="s">
        <v>641</v>
      </c>
    </row>
    <row r="105" spans="1:5">
      <c r="A105" t="s">
        <v>530</v>
      </c>
      <c r="B105" t="s">
        <v>646</v>
      </c>
      <c r="C105" s="230">
        <v>2400</v>
      </c>
      <c r="D105" t="s">
        <v>647</v>
      </c>
      <c r="E105" t="s">
        <v>638</v>
      </c>
    </row>
    <row r="106" spans="1:5">
      <c r="A106" t="s">
        <v>530</v>
      </c>
      <c r="B106" t="s">
        <v>648</v>
      </c>
      <c r="C106" s="230">
        <v>760</v>
      </c>
      <c r="D106" t="s">
        <v>649</v>
      </c>
      <c r="E106" t="s">
        <v>638</v>
      </c>
    </row>
    <row r="107" spans="1:5">
      <c r="A107" t="s">
        <v>530</v>
      </c>
      <c r="B107" t="s">
        <v>650</v>
      </c>
      <c r="C107" s="230">
        <v>600</v>
      </c>
      <c r="D107" t="s">
        <v>651</v>
      </c>
      <c r="E107" t="s">
        <v>638</v>
      </c>
    </row>
    <row r="108" spans="1:5">
      <c r="A108" t="s">
        <v>530</v>
      </c>
      <c r="B108" t="s">
        <v>652</v>
      </c>
      <c r="C108" s="230">
        <v>22700</v>
      </c>
      <c r="D108" t="s">
        <v>653</v>
      </c>
      <c r="E108" t="s">
        <v>654</v>
      </c>
    </row>
    <row r="109" spans="1:5">
      <c r="A109" t="s">
        <v>655</v>
      </c>
      <c r="B109" t="s">
        <v>656</v>
      </c>
      <c r="C109" s="230"/>
      <c r="D109" t="s">
        <v>657</v>
      </c>
      <c r="E109" t="s">
        <v>658</v>
      </c>
    </row>
    <row r="110" spans="1:5">
      <c r="A110" s="224" t="s">
        <v>659</v>
      </c>
      <c r="B110" s="224"/>
      <c r="C110" s="225">
        <f>SUM(C100:C108)</f>
        <v>28435</v>
      </c>
      <c r="D110" s="224"/>
      <c r="E110" s="22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3"/>
  <sheetViews>
    <sheetView showGridLines="0" tabSelected="1" workbookViewId="0">
      <pane ySplit="2" topLeftCell="A3" activePane="bottomLeft" state="frozen"/>
      <selection pane="bottomLeft" activeCell="G16" sqref="G16"/>
    </sheetView>
  </sheetViews>
  <sheetFormatPr baseColWidth="10" defaultColWidth="12.6640625" defaultRowHeight="15" customHeight="1"/>
  <cols>
    <col min="1" max="1" width="69" customWidth="1"/>
    <col min="2" max="2" width="23.1640625" customWidth="1"/>
    <col min="3" max="4" width="25.33203125" customWidth="1"/>
    <col min="5" max="5" width="30.1640625" customWidth="1"/>
    <col min="6" max="6" width="29.6640625" customWidth="1"/>
    <col min="7" max="8" width="25.33203125" customWidth="1"/>
    <col min="9" max="9" width="20" customWidth="1"/>
    <col min="10" max="10" width="2.5" customWidth="1"/>
    <col min="11" max="11" width="20" customWidth="1"/>
    <col min="12" max="26" width="10.6640625" customWidth="1"/>
  </cols>
  <sheetData>
    <row r="1" spans="1:11" ht="21" customHeight="1">
      <c r="A1" s="3" t="str">
        <f>COMPANY_INFO!C5 &amp; " — IPO Analysis"</f>
        <v>Space Exploration Technologies Corp. (SpaceX) — IPO Analysis</v>
      </c>
      <c r="B1" s="4"/>
      <c r="C1" s="4"/>
      <c r="D1" s="4"/>
      <c r="E1" s="4"/>
      <c r="F1" s="4"/>
      <c r="G1" s="4"/>
      <c r="H1" s="4"/>
      <c r="I1" s="5"/>
      <c r="J1" s="5"/>
      <c r="K1" s="5"/>
    </row>
    <row r="2" spans="1:11" ht="21" customHeight="1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1" customHeight="1">
      <c r="A3" s="7" t="s">
        <v>3</v>
      </c>
      <c r="B3" s="8"/>
      <c r="C3" s="8"/>
      <c r="D3" s="8"/>
      <c r="E3" s="8"/>
      <c r="F3" s="8"/>
      <c r="G3" s="8"/>
      <c r="H3" s="8"/>
      <c r="I3" s="5"/>
      <c r="J3" s="5"/>
      <c r="K3" s="5"/>
    </row>
    <row r="4" spans="1:11" ht="21" customHeight="1">
      <c r="A4" s="9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21" customHeight="1">
      <c r="A5" s="5"/>
      <c r="B5" s="5"/>
      <c r="C5" s="10" t="s">
        <v>5</v>
      </c>
      <c r="D5" s="11"/>
      <c r="E5" s="10" t="s">
        <v>6</v>
      </c>
      <c r="F5" s="11"/>
      <c r="G5" s="5"/>
      <c r="H5" s="5"/>
      <c r="I5" s="5"/>
      <c r="J5" s="5"/>
      <c r="K5" s="5"/>
    </row>
    <row r="6" spans="1:11" ht="21" customHeight="1">
      <c r="A6" s="12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1" customHeight="1">
      <c r="A7" s="5" t="s">
        <v>8</v>
      </c>
      <c r="B7" s="5"/>
      <c r="C7" s="153">
        <v>800000000</v>
      </c>
      <c r="D7" s="5"/>
      <c r="E7" s="5"/>
      <c r="F7" s="5"/>
      <c r="G7" s="5"/>
      <c r="H7" s="5"/>
      <c r="I7" s="5"/>
      <c r="J7" s="5"/>
      <c r="K7" s="5"/>
    </row>
    <row r="8" spans="1:11" ht="21" customHeight="1">
      <c r="A8" s="5" t="s">
        <v>9</v>
      </c>
      <c r="B8" s="5"/>
      <c r="C8" s="155">
        <f>C7*0.15</f>
        <v>120000000</v>
      </c>
      <c r="D8" s="5"/>
      <c r="E8" s="5"/>
      <c r="F8" s="5"/>
      <c r="G8" s="5"/>
      <c r="H8" s="5"/>
      <c r="I8" s="5"/>
      <c r="J8" s="5"/>
      <c r="K8" s="5"/>
    </row>
    <row r="9" spans="1:11" ht="21" customHeight="1">
      <c r="A9" s="13" t="s">
        <v>10</v>
      </c>
      <c r="B9" s="5"/>
      <c r="C9" s="14">
        <f>C7+C8</f>
        <v>920000000</v>
      </c>
      <c r="D9" s="5"/>
      <c r="E9" s="5"/>
      <c r="F9" s="5"/>
      <c r="G9" s="5"/>
      <c r="H9" s="5"/>
      <c r="I9" s="5"/>
      <c r="J9" s="5"/>
      <c r="K9" s="5"/>
    </row>
    <row r="10" spans="1:11" ht="21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21" customHeight="1">
      <c r="A11" s="12" t="s">
        <v>11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21" customHeight="1">
      <c r="A12" s="5" t="s">
        <v>12</v>
      </c>
      <c r="B12" s="5"/>
      <c r="C12" s="156">
        <v>110</v>
      </c>
      <c r="D12" s="154"/>
      <c r="E12" s="5"/>
      <c r="F12" s="5"/>
      <c r="G12" s="5"/>
      <c r="H12" s="5"/>
      <c r="I12" s="5"/>
      <c r="J12" s="5"/>
      <c r="K12" s="5"/>
    </row>
    <row r="13" spans="1:11" ht="21" customHeight="1">
      <c r="A13" s="5" t="s">
        <v>13</v>
      </c>
      <c r="B13" s="5"/>
      <c r="C13" s="157">
        <f>(C12+C14)/2</f>
        <v>125</v>
      </c>
      <c r="D13" s="154"/>
      <c r="E13" s="5"/>
      <c r="F13" s="5"/>
      <c r="G13" s="5"/>
      <c r="H13" s="5"/>
      <c r="I13" s="5"/>
      <c r="J13" s="5"/>
      <c r="K13" s="5"/>
    </row>
    <row r="14" spans="1:11" ht="21" customHeight="1">
      <c r="A14" s="5" t="s">
        <v>14</v>
      </c>
      <c r="B14" s="5"/>
      <c r="C14" s="15">
        <v>140</v>
      </c>
      <c r="D14" s="5"/>
      <c r="E14" s="5"/>
      <c r="F14" s="5"/>
      <c r="G14" s="5"/>
      <c r="H14" s="5"/>
      <c r="I14" s="5"/>
      <c r="J14" s="5"/>
      <c r="K14" s="5"/>
    </row>
    <row r="15" spans="1:11" ht="21" customHeight="1">
      <c r="A15" s="13"/>
      <c r="B15" s="13"/>
      <c r="C15" s="166">
        <f>+C13*C9/1000000</f>
        <v>115000</v>
      </c>
      <c r="D15" s="5"/>
      <c r="E15" s="5"/>
      <c r="F15" s="5"/>
      <c r="G15" s="5"/>
      <c r="H15" s="5"/>
      <c r="I15" s="5"/>
      <c r="J15" s="5"/>
      <c r="K15" s="5"/>
    </row>
    <row r="16" spans="1:11" ht="21" customHeight="1">
      <c r="A16" s="12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21" customHeight="1">
      <c r="A17" s="5" t="s">
        <v>16</v>
      </c>
      <c r="B17" s="5"/>
      <c r="C17" s="5"/>
      <c r="D17" s="5"/>
      <c r="E17" s="16">
        <f>C7*C13</f>
        <v>100000000000</v>
      </c>
      <c r="F17" s="5"/>
      <c r="G17" s="5"/>
      <c r="H17" s="5"/>
      <c r="I17" s="5"/>
      <c r="J17" s="5"/>
      <c r="K17" s="5"/>
    </row>
    <row r="18" spans="1:11" ht="21" customHeight="1">
      <c r="A18" s="13" t="s">
        <v>17</v>
      </c>
      <c r="B18" s="5"/>
      <c r="C18" s="5"/>
      <c r="D18" s="5"/>
      <c r="E18" s="17">
        <f>C9*C13</f>
        <v>115000000000</v>
      </c>
      <c r="F18" s="5"/>
      <c r="G18" s="5"/>
      <c r="H18" s="5"/>
      <c r="I18" s="5"/>
      <c r="J18" s="5"/>
      <c r="K18" s="5"/>
    </row>
    <row r="19" spans="1:11" ht="21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21" customHeight="1">
      <c r="A20" s="12" t="s">
        <v>18</v>
      </c>
      <c r="B20" s="5"/>
      <c r="C20" s="18" t="s">
        <v>19</v>
      </c>
      <c r="D20" s="5"/>
      <c r="E20" s="5"/>
      <c r="F20" s="5"/>
      <c r="G20" s="5"/>
      <c r="H20" s="5"/>
      <c r="I20" s="5"/>
      <c r="J20" s="5"/>
      <c r="K20" s="5"/>
    </row>
    <row r="21" spans="1:11" ht="21" customHeight="1">
      <c r="A21" s="5" t="s">
        <v>20</v>
      </c>
      <c r="B21" s="5"/>
      <c r="C21" s="19">
        <f>Share_Count!C24</f>
        <v>12520310769</v>
      </c>
      <c r="D21" s="5"/>
      <c r="E21" s="5"/>
      <c r="F21" s="5"/>
      <c r="G21" s="5"/>
      <c r="H21" s="5"/>
      <c r="I21" s="5"/>
      <c r="J21" s="5"/>
      <c r="K21" s="5"/>
    </row>
    <row r="22" spans="1:11" ht="21" customHeight="1">
      <c r="A22" s="5" t="s">
        <v>21</v>
      </c>
      <c r="B22" s="5"/>
      <c r="C22" s="20">
        <f t="shared" ref="C22:C23" si="0">C7</f>
        <v>800000000</v>
      </c>
      <c r="D22" s="5"/>
      <c r="E22" s="5"/>
      <c r="F22" s="5"/>
      <c r="G22" s="5"/>
      <c r="H22" s="5"/>
      <c r="I22" s="5"/>
      <c r="J22" s="5"/>
      <c r="K22" s="5"/>
    </row>
    <row r="23" spans="1:11" ht="21" customHeight="1">
      <c r="A23" s="5" t="s">
        <v>22</v>
      </c>
      <c r="B23" s="5"/>
      <c r="C23" s="20">
        <f t="shared" si="0"/>
        <v>120000000</v>
      </c>
      <c r="D23" s="5"/>
      <c r="E23" s="5"/>
      <c r="F23" s="5"/>
      <c r="G23" s="5"/>
      <c r="H23" s="5"/>
      <c r="I23" s="5"/>
      <c r="J23" s="5"/>
      <c r="K23" s="5"/>
    </row>
    <row r="24" spans="1:11" ht="21" customHeight="1">
      <c r="A24" s="5" t="s">
        <v>23</v>
      </c>
      <c r="B24" s="5"/>
      <c r="C24" s="14">
        <f>C21+C22</f>
        <v>13320310769</v>
      </c>
      <c r="D24" s="5"/>
      <c r="E24" s="135"/>
      <c r="F24" s="5"/>
      <c r="G24" s="5"/>
      <c r="H24" s="5"/>
      <c r="I24" s="5"/>
      <c r="J24" s="5"/>
      <c r="K24" s="5"/>
    </row>
    <row r="25" spans="1:11" ht="21" customHeight="1">
      <c r="A25" s="21" t="s">
        <v>24</v>
      </c>
      <c r="B25" s="22"/>
      <c r="C25" s="23">
        <f>C21+C22+C23</f>
        <v>13440310769</v>
      </c>
      <c r="D25" s="5"/>
      <c r="E25" s="5"/>
      <c r="F25" s="5"/>
      <c r="G25" s="5"/>
      <c r="H25" s="5"/>
      <c r="I25" s="5"/>
      <c r="J25" s="5"/>
      <c r="K25" s="5"/>
    </row>
    <row r="26" spans="1:11" ht="21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21" customHeight="1">
      <c r="A27" s="5" t="s">
        <v>25</v>
      </c>
      <c r="B27" s="5"/>
      <c r="C27" s="19">
        <f>Share_Count!D9</f>
        <v>934000000</v>
      </c>
      <c r="D27" s="5"/>
      <c r="E27" s="5"/>
      <c r="F27" s="5"/>
      <c r="G27" s="5"/>
      <c r="H27" s="5"/>
      <c r="I27" s="5"/>
      <c r="J27" s="5"/>
      <c r="K27" s="5"/>
    </row>
    <row r="28" spans="1:11" ht="21" customHeight="1">
      <c r="A28" s="5" t="s">
        <v>26</v>
      </c>
      <c r="B28" s="5"/>
      <c r="C28" s="19">
        <f>Share_Count!D10</f>
        <v>129000000</v>
      </c>
      <c r="D28" s="5"/>
      <c r="E28" s="5"/>
      <c r="F28" s="5"/>
      <c r="G28" s="5"/>
      <c r="H28" s="5"/>
      <c r="I28" s="5"/>
      <c r="J28" s="5"/>
      <c r="K28" s="5"/>
    </row>
    <row r="29" spans="1:11" ht="21" customHeight="1">
      <c r="A29" s="5" t="s">
        <v>426</v>
      </c>
      <c r="B29" s="5"/>
      <c r="C29" s="19">
        <f>Share_Count!D12</f>
        <v>0</v>
      </c>
      <c r="D29" s="5"/>
      <c r="E29" s="5"/>
      <c r="F29" s="5"/>
      <c r="G29" s="5"/>
      <c r="H29" s="5"/>
      <c r="I29" s="5"/>
      <c r="J29" s="5"/>
      <c r="K29" s="5"/>
    </row>
    <row r="30" spans="1:11" ht="21" customHeight="1">
      <c r="A30" s="5" t="s">
        <v>427</v>
      </c>
      <c r="B30" s="5"/>
      <c r="C30" s="19">
        <f>Share_Count!D13</f>
        <v>261800000</v>
      </c>
      <c r="D30" s="5"/>
      <c r="E30" s="5"/>
      <c r="F30" s="5"/>
      <c r="G30" s="5"/>
      <c r="H30" s="5"/>
      <c r="I30" s="5"/>
      <c r="J30" s="5"/>
      <c r="K30" s="5"/>
    </row>
    <row r="31" spans="1:11" ht="21" customHeight="1">
      <c r="A31" s="5" t="s">
        <v>428</v>
      </c>
      <c r="B31" s="5"/>
      <c r="C31" s="19">
        <f>Share_Count!D14</f>
        <v>0</v>
      </c>
      <c r="D31" s="5"/>
      <c r="E31" s="5"/>
      <c r="F31" s="5"/>
      <c r="G31" s="5"/>
      <c r="H31" s="5"/>
      <c r="I31" s="5"/>
      <c r="J31" s="5"/>
      <c r="K31" s="5"/>
    </row>
    <row r="32" spans="1:11" ht="21" customHeight="1">
      <c r="A32" s="21" t="s">
        <v>27</v>
      </c>
      <c r="B32" s="22"/>
      <c r="C32" s="23">
        <f>C25+C27+C28+C29+C30+C31</f>
        <v>14765110769</v>
      </c>
      <c r="D32" s="5"/>
      <c r="E32" s="5"/>
      <c r="F32" s="5"/>
      <c r="G32" s="5"/>
      <c r="H32" s="5"/>
      <c r="I32" s="5"/>
      <c r="J32" s="5"/>
      <c r="K32" s="5"/>
    </row>
    <row r="33" spans="1:11" ht="21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21" customHeight="1">
      <c r="A34" s="12" t="s">
        <v>28</v>
      </c>
      <c r="B34" s="5"/>
      <c r="C34" s="11"/>
      <c r="D34" s="11"/>
      <c r="E34" s="10" t="s">
        <v>29</v>
      </c>
      <c r="F34" s="24" t="s">
        <v>30</v>
      </c>
      <c r="G34" s="5"/>
      <c r="H34" s="5"/>
      <c r="I34" s="5"/>
      <c r="J34" s="5"/>
      <c r="K34" s="5"/>
    </row>
    <row r="35" spans="1:11" ht="21" customHeight="1">
      <c r="A35" s="5" t="s">
        <v>31</v>
      </c>
      <c r="B35" s="5"/>
      <c r="C35" s="5"/>
      <c r="D35" s="5"/>
      <c r="E35" s="25">
        <f>C25*C13</f>
        <v>1680038846125</v>
      </c>
      <c r="F35" s="26">
        <f>C32*C13</f>
        <v>1845638846125</v>
      </c>
      <c r="G35" s="5"/>
      <c r="H35" s="5"/>
      <c r="I35" s="5"/>
      <c r="J35" s="5"/>
      <c r="K35" s="5"/>
    </row>
    <row r="36" spans="1:11" ht="21" customHeight="1">
      <c r="A36" s="5"/>
      <c r="B36" s="5"/>
      <c r="C36" s="5"/>
      <c r="D36" s="5"/>
      <c r="E36" s="27"/>
      <c r="F36" s="28"/>
      <c r="G36" s="5"/>
      <c r="H36" s="5"/>
      <c r="I36" s="5"/>
      <c r="J36" s="5"/>
      <c r="K36" s="5"/>
    </row>
    <row r="37" spans="1:11" ht="21" customHeight="1">
      <c r="A37" s="5" t="s">
        <v>510</v>
      </c>
      <c r="B37" s="5"/>
      <c r="C37" s="5"/>
      <c r="D37" s="5"/>
      <c r="E37" s="29">
        <f>-Annual_Financials!D34*1000</f>
        <v>-24747000000</v>
      </c>
      <c r="F37" s="28"/>
      <c r="G37" s="5"/>
      <c r="H37" s="5"/>
      <c r="I37" s="5"/>
      <c r="J37" s="5"/>
      <c r="K37" s="5"/>
    </row>
    <row r="38" spans="1:11" ht="21" customHeight="1">
      <c r="A38" s="5" t="s">
        <v>511</v>
      </c>
      <c r="B38" s="5"/>
      <c r="C38" s="5"/>
      <c r="D38" s="5"/>
      <c r="E38" s="29">
        <f>-Annual_Financials!D35*1000</f>
        <v>0</v>
      </c>
      <c r="F38" s="28"/>
      <c r="G38" s="5"/>
      <c r="H38" s="5"/>
      <c r="I38" s="5"/>
      <c r="J38" s="5"/>
      <c r="K38" s="5"/>
    </row>
    <row r="39" spans="1:11" ht="21" customHeight="1">
      <c r="A39" s="5" t="s">
        <v>512</v>
      </c>
      <c r="B39" s="5"/>
      <c r="C39" s="5"/>
      <c r="D39" s="5"/>
      <c r="E39" s="29">
        <f>-Annual_Financials!D36*1000</f>
        <v>-1637000000</v>
      </c>
      <c r="F39" s="28"/>
      <c r="G39" s="5"/>
      <c r="H39" s="5"/>
      <c r="I39" s="5"/>
      <c r="J39" s="5"/>
      <c r="K39" s="5"/>
    </row>
    <row r="40" spans="1:11" ht="21" customHeight="1">
      <c r="A40" s="5" t="s">
        <v>513</v>
      </c>
      <c r="B40" s="5"/>
      <c r="C40" s="5"/>
      <c r="D40" s="5"/>
      <c r="E40" s="158">
        <f>-E17*(1-COMPANY_INFO!C24)</f>
        <v>-93000000000</v>
      </c>
      <c r="F40" s="28"/>
      <c r="G40" s="5"/>
      <c r="H40" s="5"/>
      <c r="I40" s="5"/>
      <c r="J40" s="5"/>
      <c r="K40" s="5"/>
    </row>
    <row r="41" spans="1:11" ht="21" customHeight="1">
      <c r="A41" s="5" t="s">
        <v>508</v>
      </c>
      <c r="B41" s="5"/>
      <c r="C41" s="5"/>
      <c r="D41" s="5"/>
      <c r="E41" s="25">
        <f>(Annual_Financials!D50+Annual_Financials!D54)*1000</f>
        <v>22896000000</v>
      </c>
      <c r="F41" s="28"/>
      <c r="G41" s="5"/>
      <c r="H41" s="5"/>
      <c r="I41" s="5"/>
      <c r="J41" s="5"/>
      <c r="K41" s="5"/>
    </row>
    <row r="42" spans="1:11" ht="21" customHeight="1" thickBot="1">
      <c r="A42" s="5" t="s">
        <v>509</v>
      </c>
      <c r="B42" s="5"/>
      <c r="C42" s="5"/>
      <c r="D42" s="5"/>
      <c r="E42" s="27">
        <f>E37+E38+E39+E40+E41</f>
        <v>-96488000000</v>
      </c>
      <c r="F42" s="167"/>
      <c r="G42" s="5"/>
      <c r="H42" s="5"/>
      <c r="I42" s="5"/>
      <c r="J42" s="5"/>
      <c r="K42" s="5"/>
    </row>
    <row r="43" spans="1:11" ht="21" customHeight="1">
      <c r="A43" s="5" t="s">
        <v>32</v>
      </c>
      <c r="B43" s="5"/>
      <c r="C43" s="5"/>
      <c r="D43" s="5"/>
      <c r="E43" s="159">
        <f>E35+E42</f>
        <v>1583550846125</v>
      </c>
      <c r="F43" s="159">
        <f>F35+E42</f>
        <v>1749150846125</v>
      </c>
      <c r="G43" s="5"/>
      <c r="H43" s="5"/>
      <c r="I43" s="5"/>
      <c r="J43" s="5"/>
      <c r="K43" s="5"/>
    </row>
    <row r="44" spans="1:11" ht="21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21" customHeight="1">
      <c r="A45" s="12" t="s">
        <v>449</v>
      </c>
      <c r="B45" s="5"/>
      <c r="C45" s="5"/>
      <c r="D45" s="5"/>
      <c r="E45" s="18" t="s">
        <v>29</v>
      </c>
      <c r="F45" s="18" t="s">
        <v>30</v>
      </c>
      <c r="G45" s="5"/>
      <c r="H45" s="5"/>
      <c r="I45" s="5"/>
      <c r="J45" s="5"/>
      <c r="K45" s="5"/>
    </row>
    <row r="46" spans="1:11" ht="21" customHeight="1">
      <c r="A46" s="5" t="s">
        <v>442</v>
      </c>
      <c r="B46" s="5"/>
      <c r="C46" s="30">
        <f>Annual_Financials!D6</f>
        <v>18674000</v>
      </c>
      <c r="D46" s="5"/>
      <c r="E46" s="5"/>
      <c r="F46" s="5"/>
      <c r="G46" s="5"/>
      <c r="H46" s="5"/>
      <c r="I46" s="5"/>
      <c r="J46" s="5"/>
      <c r="K46" s="5"/>
    </row>
    <row r="47" spans="1:11" ht="21" customHeight="1">
      <c r="A47" s="5" t="s">
        <v>697</v>
      </c>
      <c r="B47" s="5"/>
      <c r="C47" s="30">
        <f>Annual_Financials!D15</f>
        <v>-2589000</v>
      </c>
      <c r="D47" s="5"/>
      <c r="E47" s="5"/>
      <c r="F47" s="5"/>
      <c r="G47" s="5"/>
      <c r="H47" s="5"/>
      <c r="I47" s="5"/>
      <c r="J47" s="5"/>
      <c r="K47" s="5"/>
    </row>
    <row r="48" spans="1:11" ht="21" customHeight="1">
      <c r="A48" s="5" t="s">
        <v>443</v>
      </c>
      <c r="B48" s="5"/>
      <c r="C48" s="31">
        <f>Annual_Financials!D15+Annual_Financials!D67+Annual_Financials!D13+Annual_Financials!D14</f>
        <v>5277000</v>
      </c>
      <c r="D48" s="5"/>
      <c r="E48" s="5"/>
      <c r="F48" s="5"/>
      <c r="G48" s="5"/>
      <c r="H48" s="5"/>
      <c r="I48" s="5"/>
      <c r="J48" s="5"/>
      <c r="K48" s="5"/>
    </row>
    <row r="49" spans="1:11" ht="21" customHeight="1">
      <c r="A49" s="5" t="s">
        <v>698</v>
      </c>
      <c r="B49" s="5"/>
      <c r="C49" s="31">
        <f>Annual_Financials!D27</f>
        <v>6584000</v>
      </c>
      <c r="D49" s="5"/>
      <c r="E49" s="5"/>
      <c r="F49" s="5"/>
      <c r="G49" s="5"/>
      <c r="H49" s="5"/>
      <c r="I49" s="5"/>
      <c r="J49" s="5"/>
      <c r="K49" s="5"/>
    </row>
    <row r="50" spans="1:11" ht="21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21" customHeight="1">
      <c r="A51" s="5" t="s">
        <v>444</v>
      </c>
      <c r="B51" s="5"/>
      <c r="C51" s="5"/>
      <c r="D51" s="5"/>
      <c r="E51" s="32">
        <f>E43/(C46*1000)</f>
        <v>84.799766848291739</v>
      </c>
      <c r="F51" s="32">
        <f>F43/(C46*1000)</f>
        <v>93.667711584288313</v>
      </c>
      <c r="G51" s="5"/>
      <c r="H51" s="5"/>
      <c r="I51" s="5"/>
      <c r="J51" s="5"/>
      <c r="K51" s="5"/>
    </row>
    <row r="52" spans="1:11" ht="21" customHeight="1">
      <c r="A52" s="5" t="s">
        <v>699</v>
      </c>
      <c r="B52" s="5"/>
      <c r="C52" s="5"/>
      <c r="D52" s="5"/>
      <c r="E52" s="32" t="str">
        <f>IF(C47&gt;0,E43/(C47*1000),"N/M")</f>
        <v>N/M</v>
      </c>
      <c r="F52" s="32" t="str">
        <f>IF(C47&gt;0,F43/(C47*1000),"N/M")</f>
        <v>N/M</v>
      </c>
      <c r="G52" s="5"/>
      <c r="H52" s="5"/>
      <c r="I52" s="5"/>
      <c r="J52" s="5"/>
      <c r="K52" s="5"/>
    </row>
    <row r="53" spans="1:11" ht="21" customHeight="1">
      <c r="A53" s="5" t="s">
        <v>445</v>
      </c>
      <c r="B53" s="5"/>
      <c r="C53" s="5"/>
      <c r="D53" s="5"/>
      <c r="E53" s="32">
        <f>IF(C48&gt;0,E43/(C48*1000),"N/M")</f>
        <v>300.08543606689409</v>
      </c>
      <c r="F53" s="32">
        <f>IF(C48&gt;0,F43/(C48*1000),"N/M")</f>
        <v>331.46690280936139</v>
      </c>
      <c r="G53" s="5"/>
      <c r="H53" s="5"/>
      <c r="I53" s="5"/>
      <c r="J53" s="5"/>
      <c r="K53" s="5"/>
    </row>
    <row r="54" spans="1:11" ht="21" customHeight="1">
      <c r="A54" s="5" t="s">
        <v>446</v>
      </c>
      <c r="B54" s="5"/>
      <c r="C54" s="5"/>
      <c r="D54" s="5"/>
      <c r="E54" s="32">
        <f>IF(C49&gt;0,E43/(C49*1000),"N/M")</f>
        <v>240.51501308095382</v>
      </c>
      <c r="F54" s="32">
        <f>IF(C49&gt;0,F43/(C49*1000),"N/M")</f>
        <v>265.66689643453827</v>
      </c>
      <c r="G54" s="5"/>
      <c r="H54" s="5"/>
      <c r="I54" s="5"/>
      <c r="J54" s="5"/>
      <c r="K54" s="5"/>
    </row>
    <row r="55" spans="1:11" ht="21" customHeight="1">
      <c r="A55" s="5" t="s">
        <v>447</v>
      </c>
      <c r="B55" s="5"/>
      <c r="C55" s="5"/>
      <c r="D55" s="5"/>
      <c r="E55" s="32">
        <f>E35/(C46*1000)</f>
        <v>89.966736967173617</v>
      </c>
      <c r="F55" s="32">
        <f>F35/(C46*1000)</f>
        <v>98.834681703170176</v>
      </c>
      <c r="G55" s="5"/>
      <c r="H55" s="5"/>
      <c r="I55" s="5"/>
      <c r="J55" s="5"/>
      <c r="K55" s="5"/>
    </row>
    <row r="56" spans="1:11" ht="21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21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21" customHeight="1">
      <c r="A58" s="7" t="s">
        <v>33</v>
      </c>
      <c r="B58" s="8"/>
      <c r="C58" s="8"/>
      <c r="D58" s="8"/>
      <c r="E58" s="8"/>
      <c r="F58" s="8"/>
      <c r="G58" s="8"/>
      <c r="H58" s="8"/>
      <c r="I58" s="5"/>
      <c r="J58" s="5"/>
      <c r="K58" s="5"/>
    </row>
    <row r="59" spans="1:11" ht="21" customHeight="1">
      <c r="A59" s="9" t="s">
        <v>34</v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21" customHeight="1" thickBo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21" customHeight="1">
      <c r="A61" s="267"/>
      <c r="B61" s="267"/>
      <c r="C61" s="268" t="str">
        <f>COMPANY_INFO!C13</f>
        <v>FY 2024</v>
      </c>
      <c r="D61" s="268" t="str">
        <f>COMPANY_INFO!C12</f>
        <v>FY 2025</v>
      </c>
      <c r="E61" s="268" t="str">
        <f>COMPANY_INFO!C14</f>
        <v>FY 2026E</v>
      </c>
      <c r="F61" s="268" t="str">
        <f>COMPANY_INFO!C15</f>
        <v>FY 2027E</v>
      </c>
      <c r="G61" s="268" t="str">
        <f>COMPANY_INFO!C16</f>
        <v>FY 2028E</v>
      </c>
      <c r="H61" s="268" t="str">
        <f>COMPANY_INFO!C17</f>
        <v>FY 2029E</v>
      </c>
      <c r="I61" s="5"/>
      <c r="J61" s="5"/>
      <c r="K61" s="5"/>
    </row>
    <row r="62" spans="1:11" ht="21" customHeight="1">
      <c r="A62" s="5"/>
      <c r="B62" s="5"/>
      <c r="C62" s="347" t="s">
        <v>665</v>
      </c>
      <c r="D62" s="347"/>
      <c r="E62" s="348" t="s">
        <v>666</v>
      </c>
      <c r="F62" s="348"/>
      <c r="G62" s="348"/>
      <c r="H62" s="348"/>
      <c r="I62" s="5"/>
      <c r="J62" s="5"/>
      <c r="K62" s="5"/>
    </row>
    <row r="63" spans="1:11" ht="21" customHeight="1">
      <c r="A63" s="346" t="s">
        <v>663</v>
      </c>
      <c r="B63" s="235"/>
      <c r="C63" s="235"/>
      <c r="D63" s="235"/>
      <c r="E63" s="235"/>
      <c r="F63" s="235"/>
      <c r="G63" s="235"/>
      <c r="H63" s="235"/>
      <c r="I63" s="5"/>
      <c r="J63" s="5"/>
      <c r="K63" s="5"/>
    </row>
    <row r="64" spans="1:11" ht="21" customHeight="1">
      <c r="A64" s="242" t="s">
        <v>660</v>
      </c>
      <c r="B64" s="233"/>
      <c r="C64" s="234">
        <v>3796000</v>
      </c>
      <c r="D64" s="260">
        <v>4086000</v>
      </c>
      <c r="E64" s="234">
        <f>D64*(1+E66)</f>
        <v>4494600</v>
      </c>
      <c r="F64" s="234">
        <f>E64*(1+F66)</f>
        <v>5168790</v>
      </c>
      <c r="G64" s="234">
        <f>F64*(1+G66)</f>
        <v>6099172.1999999993</v>
      </c>
      <c r="H64" s="234">
        <f>G64*(1+H66)</f>
        <v>7319006.6399999987</v>
      </c>
      <c r="I64" s="5"/>
      <c r="J64" s="5"/>
      <c r="K64" s="5"/>
    </row>
    <row r="65" spans="1:11" ht="21" customHeight="1">
      <c r="A65" s="243" t="s">
        <v>41</v>
      </c>
      <c r="B65" s="233"/>
      <c r="C65" s="240">
        <f t="shared" ref="C65:H65" si="1">C64/C75</f>
        <v>0.27085265786657153</v>
      </c>
      <c r="D65" s="261">
        <f t="shared" si="1"/>
        <v>0.21880689729035022</v>
      </c>
      <c r="E65" s="240">
        <f t="shared" si="1"/>
        <v>0.12692934955274249</v>
      </c>
      <c r="F65" s="240">
        <f t="shared" si="1"/>
        <v>0.10829119131959193</v>
      </c>
      <c r="G65" s="240">
        <f t="shared" si="1"/>
        <v>9.6240967399577548E-2</v>
      </c>
      <c r="H65" s="240">
        <f t="shared" si="1"/>
        <v>9.1175614931773119E-2</v>
      </c>
      <c r="I65" s="5"/>
      <c r="J65" s="5"/>
      <c r="K65" s="5"/>
    </row>
    <row r="66" spans="1:11" ht="21" customHeight="1">
      <c r="A66" s="243" t="s">
        <v>42</v>
      </c>
      <c r="B66" s="233"/>
      <c r="C66" s="256">
        <v>6.7199999999999996E-2</v>
      </c>
      <c r="D66" s="262">
        <f>D64/C64-1</f>
        <v>7.6396206533192901E-2</v>
      </c>
      <c r="E66" s="258">
        <v>0.1</v>
      </c>
      <c r="F66" s="259">
        <v>0.15</v>
      </c>
      <c r="G66" s="259">
        <v>0.18</v>
      </c>
      <c r="H66" s="259">
        <v>0.2</v>
      </c>
      <c r="I66" s="6" t="s">
        <v>504</v>
      </c>
      <c r="J66" s="5"/>
      <c r="K66" s="5"/>
    </row>
    <row r="67" spans="1:11" ht="6" customHeight="1">
      <c r="A67" s="246"/>
      <c r="B67" s="246"/>
      <c r="C67" s="247"/>
      <c r="D67" s="263"/>
      <c r="E67" s="249"/>
      <c r="F67" s="248"/>
      <c r="G67" s="248"/>
      <c r="H67" s="248"/>
      <c r="I67" s="150"/>
      <c r="J67" s="106"/>
      <c r="K67" s="106"/>
    </row>
    <row r="68" spans="1:11" ht="21" customHeight="1">
      <c r="A68" s="242" t="s">
        <v>661</v>
      </c>
      <c r="B68" s="233"/>
      <c r="C68" s="234">
        <v>7599000</v>
      </c>
      <c r="D68" s="260">
        <v>11387000</v>
      </c>
      <c r="E68" s="234">
        <f>D68*(1+E70)</f>
        <v>16511150</v>
      </c>
      <c r="F68" s="234">
        <f>E68*(1+F70)</f>
        <v>23115610</v>
      </c>
      <c r="G68" s="234">
        <f>F68*(1+G70)</f>
        <v>30050293</v>
      </c>
      <c r="H68" s="234">
        <f>G68*(1+H70)</f>
        <v>37562866.25</v>
      </c>
      <c r="I68" s="5"/>
      <c r="J68" s="5"/>
      <c r="K68" s="5"/>
    </row>
    <row r="69" spans="1:11" ht="21" customHeight="1">
      <c r="A69" s="243" t="s">
        <v>41</v>
      </c>
      <c r="B69" s="233"/>
      <c r="C69" s="240">
        <f t="shared" ref="C69:H69" si="2">C68/C75</f>
        <v>0.54220478059222266</v>
      </c>
      <c r="D69" s="261">
        <f t="shared" si="2"/>
        <v>0.60977830138160005</v>
      </c>
      <c r="E69" s="240">
        <f t="shared" si="2"/>
        <v>0.46628165573527441</v>
      </c>
      <c r="F69" s="240">
        <f t="shared" si="2"/>
        <v>0.48429457280699595</v>
      </c>
      <c r="G69" s="240">
        <f t="shared" si="2"/>
        <v>0.47417406397555945</v>
      </c>
      <c r="H69" s="240">
        <f t="shared" si="2"/>
        <v>0.4679347345070447</v>
      </c>
      <c r="I69" s="5"/>
      <c r="J69" s="5"/>
      <c r="K69" s="5"/>
    </row>
    <row r="70" spans="1:11" ht="21" customHeight="1">
      <c r="A70" s="243" t="s">
        <v>42</v>
      </c>
      <c r="B70" s="233"/>
      <c r="C70" s="257">
        <v>0.96409999999999996</v>
      </c>
      <c r="D70" s="262">
        <f>D68/C68-1</f>
        <v>0.49848664297933931</v>
      </c>
      <c r="E70" s="259">
        <v>0.45</v>
      </c>
      <c r="F70" s="259">
        <v>0.4</v>
      </c>
      <c r="G70" s="259">
        <v>0.3</v>
      </c>
      <c r="H70" s="259">
        <v>0.25</v>
      </c>
      <c r="I70" s="6" t="s">
        <v>504</v>
      </c>
      <c r="J70" s="5"/>
      <c r="K70" s="5"/>
    </row>
    <row r="71" spans="1:11" ht="6" customHeight="1">
      <c r="A71" s="246"/>
      <c r="B71" s="246"/>
      <c r="C71" s="250"/>
      <c r="D71" s="264"/>
      <c r="E71" s="250"/>
      <c r="F71" s="250"/>
      <c r="G71" s="251"/>
      <c r="H71" s="251"/>
      <c r="I71" s="106"/>
      <c r="J71" s="106"/>
      <c r="K71" s="106"/>
    </row>
    <row r="72" spans="1:11" ht="21" customHeight="1">
      <c r="A72" s="242" t="s">
        <v>662</v>
      </c>
      <c r="B72" s="233"/>
      <c r="C72" s="244">
        <v>2620000</v>
      </c>
      <c r="D72" s="260">
        <v>3201000</v>
      </c>
      <c r="E72" s="245">
        <f>D72*(1+E74)</f>
        <v>14404500</v>
      </c>
      <c r="F72" s="234">
        <f>E72*(1+F74)</f>
        <v>19446075</v>
      </c>
      <c r="G72" s="234">
        <f>F72*(1+G74)</f>
        <v>27224505</v>
      </c>
      <c r="H72" s="234">
        <f>G72*(1+H74)</f>
        <v>35391856.5</v>
      </c>
      <c r="I72" s="305" t="s">
        <v>667</v>
      </c>
      <c r="J72" s="5"/>
      <c r="K72" s="5"/>
    </row>
    <row r="73" spans="1:11" ht="21" customHeight="1">
      <c r="A73" s="243" t="s">
        <v>41</v>
      </c>
      <c r="B73" s="233"/>
      <c r="C73" s="240">
        <f t="shared" ref="C73:H73" si="3">C72/C75</f>
        <v>0.18694256154120584</v>
      </c>
      <c r="D73" s="261">
        <f t="shared" si="3"/>
        <v>0.1714148013280497</v>
      </c>
      <c r="E73" s="240">
        <f t="shared" si="3"/>
        <v>0.4067889947119831</v>
      </c>
      <c r="F73" s="240">
        <f t="shared" si="3"/>
        <v>0.40741423587341213</v>
      </c>
      <c r="G73" s="240">
        <f t="shared" si="3"/>
        <v>0.42958496862486295</v>
      </c>
      <c r="H73" s="240">
        <f t="shared" si="3"/>
        <v>0.44088965056118218</v>
      </c>
      <c r="I73" s="5"/>
      <c r="J73" s="5"/>
      <c r="K73" s="5"/>
    </row>
    <row r="74" spans="1:11" ht="21" customHeight="1">
      <c r="A74" s="243" t="s">
        <v>42</v>
      </c>
      <c r="B74" s="233"/>
      <c r="C74" s="241">
        <v>-0.1152</v>
      </c>
      <c r="D74" s="262">
        <f>D72/C72-1</f>
        <v>0.22175572519083975</v>
      </c>
      <c r="E74" s="239">
        <v>3.5</v>
      </c>
      <c r="F74" s="239">
        <v>0.35</v>
      </c>
      <c r="G74" s="239">
        <v>0.4</v>
      </c>
      <c r="H74" s="239">
        <v>0.3</v>
      </c>
      <c r="I74" s="104"/>
      <c r="J74" s="5"/>
      <c r="K74" s="5"/>
    </row>
    <row r="75" spans="1:11" ht="21" customHeight="1" thickBot="1">
      <c r="A75" s="302" t="s">
        <v>44</v>
      </c>
      <c r="B75" s="252"/>
      <c r="C75" s="269">
        <f t="shared" ref="C75:H75" si="4">C64+C68+C72</f>
        <v>14015000</v>
      </c>
      <c r="D75" s="270">
        <f t="shared" si="4"/>
        <v>18674000</v>
      </c>
      <c r="E75" s="271">
        <f t="shared" si="4"/>
        <v>35410250</v>
      </c>
      <c r="F75" s="271">
        <f t="shared" si="4"/>
        <v>47730475</v>
      </c>
      <c r="G75" s="271">
        <f t="shared" si="4"/>
        <v>63373970.200000003</v>
      </c>
      <c r="H75" s="271">
        <f t="shared" si="4"/>
        <v>80273729.390000001</v>
      </c>
      <c r="I75" s="5"/>
      <c r="J75" s="5"/>
      <c r="K75" s="5"/>
    </row>
    <row r="76" spans="1:11" ht="21" customHeight="1" thickTop="1">
      <c r="A76" s="253" t="s">
        <v>42</v>
      </c>
      <c r="B76" s="236"/>
      <c r="C76" s="237">
        <f>C75/Annual_Financials!F6-1</f>
        <v>0.34928275729276992</v>
      </c>
      <c r="D76" s="265">
        <f>D75/C75-1</f>
        <v>0.3324295397788084</v>
      </c>
      <c r="E76" s="238">
        <f>E75/D75-1</f>
        <v>0.896232729998929</v>
      </c>
      <c r="F76" s="238">
        <f>F75/E75-1</f>
        <v>0.34792821287621511</v>
      </c>
      <c r="G76" s="238">
        <f>G75/F75-1</f>
        <v>0.32774648062899026</v>
      </c>
      <c r="H76" s="238">
        <f>(H75/C75)^(1/5)-1</f>
        <v>0.41773828587712347</v>
      </c>
      <c r="I76" s="107" t="s">
        <v>505</v>
      </c>
      <c r="J76" s="106"/>
      <c r="K76" s="106"/>
    </row>
    <row r="77" spans="1:11" ht="21" customHeight="1">
      <c r="A77" s="254" t="s">
        <v>664</v>
      </c>
      <c r="B77" s="236"/>
      <c r="C77" s="255"/>
      <c r="D77" s="266"/>
      <c r="E77" s="306"/>
      <c r="F77" s="255"/>
      <c r="G77" s="255"/>
      <c r="H77" s="255">
        <f>E75+F75+G75+H75</f>
        <v>226788424.58999997</v>
      </c>
      <c r="I77" s="105"/>
      <c r="J77" s="5"/>
      <c r="K77" s="5"/>
    </row>
    <row r="78" spans="1:11" ht="21" customHeight="1">
      <c r="A78" s="164" t="s">
        <v>668</v>
      </c>
      <c r="B78" s="272"/>
      <c r="C78" s="272"/>
      <c r="D78" s="272"/>
      <c r="E78" s="272"/>
      <c r="F78" s="272"/>
      <c r="G78" s="272"/>
      <c r="H78" s="273"/>
      <c r="I78" s="5"/>
      <c r="J78" s="5"/>
      <c r="K78" s="5"/>
    </row>
    <row r="79" spans="1:11" ht="21" customHeight="1">
      <c r="A79" s="13" t="s">
        <v>669</v>
      </c>
      <c r="B79" s="5"/>
      <c r="C79" s="274">
        <v>1154000</v>
      </c>
      <c r="D79" s="316">
        <v>653000</v>
      </c>
      <c r="E79" s="275">
        <f>E64*E80</f>
        <v>898920</v>
      </c>
      <c r="F79" s="275">
        <f>F64*F80</f>
        <v>1292197.5</v>
      </c>
      <c r="G79" s="275">
        <f>G64*G80</f>
        <v>1829751.6599999997</v>
      </c>
      <c r="H79" s="275">
        <f>H64*H80</f>
        <v>2195701.9919999996</v>
      </c>
      <c r="I79" s="5"/>
      <c r="J79" s="5"/>
      <c r="K79" s="5"/>
    </row>
    <row r="80" spans="1:11" ht="21" customHeight="1">
      <c r="A80" s="33" t="s">
        <v>670</v>
      </c>
      <c r="B80" s="5"/>
      <c r="C80" s="278">
        <f>C79/C64</f>
        <v>0.30400421496311908</v>
      </c>
      <c r="D80" s="317">
        <f>D79/D64</f>
        <v>0.15981399902104748</v>
      </c>
      <c r="E80" s="279">
        <v>0.2</v>
      </c>
      <c r="F80" s="280">
        <v>0.25</v>
      </c>
      <c r="G80" s="280">
        <v>0.3</v>
      </c>
      <c r="H80" s="280">
        <v>0.3</v>
      </c>
      <c r="I80" s="5"/>
      <c r="J80" s="5"/>
      <c r="K80" s="5"/>
    </row>
    <row r="81" spans="1:11" ht="21" customHeight="1">
      <c r="A81" s="36"/>
      <c r="B81" s="5"/>
      <c r="C81" s="5"/>
      <c r="D81" s="318"/>
      <c r="E81" s="5"/>
      <c r="F81" s="5"/>
      <c r="G81" s="5"/>
      <c r="H81" s="5"/>
      <c r="I81" s="5"/>
      <c r="J81" s="5"/>
      <c r="K81" s="5"/>
    </row>
    <row r="82" spans="1:11" ht="21" customHeight="1">
      <c r="A82" s="13" t="s">
        <v>671</v>
      </c>
      <c r="B82" s="5"/>
      <c r="C82" s="274">
        <v>3849000</v>
      </c>
      <c r="D82" s="316">
        <v>7168000</v>
      </c>
      <c r="E82" s="275">
        <f>E68*E83</f>
        <v>10732247.5</v>
      </c>
      <c r="F82" s="275">
        <f>F68*F83</f>
        <v>15025146.5</v>
      </c>
      <c r="G82" s="275">
        <f>G68*G83</f>
        <v>19532690.449999999</v>
      </c>
      <c r="H82" s="275">
        <f>H68*H83</f>
        <v>24415863.0625</v>
      </c>
      <c r="I82" s="5"/>
      <c r="J82" s="5"/>
      <c r="K82" s="5"/>
    </row>
    <row r="83" spans="1:11" ht="21" customHeight="1">
      <c r="A83" s="33" t="s">
        <v>670</v>
      </c>
      <c r="B83" s="5"/>
      <c r="C83" s="278">
        <f>C82/C68</f>
        <v>0.50651401500197391</v>
      </c>
      <c r="D83" s="319">
        <f>D82/D68</f>
        <v>0.62948976903486431</v>
      </c>
      <c r="E83" s="279">
        <v>0.65</v>
      </c>
      <c r="F83" s="280">
        <v>0.65</v>
      </c>
      <c r="G83" s="280">
        <v>0.65</v>
      </c>
      <c r="H83" s="280">
        <v>0.65</v>
      </c>
      <c r="I83" s="5"/>
      <c r="J83" s="5"/>
      <c r="K83" s="5"/>
    </row>
    <row r="84" spans="1:11" ht="21" customHeight="1">
      <c r="A84" s="36"/>
      <c r="B84" s="5"/>
      <c r="C84" s="5"/>
      <c r="D84" s="318"/>
      <c r="E84" s="5"/>
      <c r="F84" s="5"/>
      <c r="G84" s="5"/>
      <c r="H84" s="5"/>
      <c r="I84" s="5"/>
      <c r="J84" s="5"/>
      <c r="K84" s="5"/>
    </row>
    <row r="85" spans="1:11" ht="21" customHeight="1">
      <c r="A85" s="13" t="s">
        <v>672</v>
      </c>
      <c r="B85" s="13"/>
      <c r="C85" s="276">
        <v>347000</v>
      </c>
      <c r="D85" s="320">
        <v>-1237000</v>
      </c>
      <c r="E85" s="277">
        <f>E72*E86</f>
        <v>2880900</v>
      </c>
      <c r="F85" s="277">
        <f>F72*F86</f>
        <v>5833822.5</v>
      </c>
      <c r="G85" s="277">
        <f>G72*G86</f>
        <v>9528576.75</v>
      </c>
      <c r="H85" s="277">
        <f>H72*H86</f>
        <v>8847964.125</v>
      </c>
      <c r="I85" s="5"/>
      <c r="J85" s="5"/>
      <c r="K85" s="5"/>
    </row>
    <row r="86" spans="1:11" ht="21" customHeight="1">
      <c r="A86" s="33" t="s">
        <v>670</v>
      </c>
      <c r="B86" s="5"/>
      <c r="C86" s="278">
        <f>C85/C72</f>
        <v>0.13244274809160306</v>
      </c>
      <c r="D86" s="317">
        <f>D85/D72</f>
        <v>-0.38644173695720085</v>
      </c>
      <c r="E86" s="307">
        <v>0.2</v>
      </c>
      <c r="F86" s="307">
        <v>0.3</v>
      </c>
      <c r="G86" s="280">
        <v>0.35</v>
      </c>
      <c r="H86" s="280">
        <v>0.25</v>
      </c>
      <c r="I86" s="5"/>
      <c r="J86" s="5"/>
      <c r="K86" s="5"/>
    </row>
    <row r="87" spans="1:11" ht="21" customHeight="1">
      <c r="A87" s="106"/>
      <c r="B87" s="106"/>
      <c r="C87" s="106"/>
      <c r="D87" s="318"/>
      <c r="E87" s="106"/>
      <c r="F87" s="106"/>
      <c r="G87" s="106"/>
      <c r="H87" s="106"/>
      <c r="I87" s="5"/>
      <c r="J87" s="5"/>
      <c r="K87" s="5"/>
    </row>
    <row r="88" spans="1:11" ht="21" customHeight="1" thickBot="1">
      <c r="A88" s="281" t="s">
        <v>705</v>
      </c>
      <c r="B88" s="282"/>
      <c r="C88" s="283">
        <f t="shared" ref="C88:H88" si="5">C79+C82+C85</f>
        <v>5350000</v>
      </c>
      <c r="D88" s="321">
        <f t="shared" si="5"/>
        <v>6584000</v>
      </c>
      <c r="E88" s="284">
        <f t="shared" si="5"/>
        <v>14512067.5</v>
      </c>
      <c r="F88" s="284">
        <f t="shared" si="5"/>
        <v>22151166.5</v>
      </c>
      <c r="G88" s="285">
        <f t="shared" si="5"/>
        <v>30891018.859999999</v>
      </c>
      <c r="H88" s="285">
        <f t="shared" si="5"/>
        <v>35459529.179499999</v>
      </c>
      <c r="I88" s="5"/>
      <c r="J88" s="5"/>
      <c r="K88" s="5"/>
    </row>
    <row r="89" spans="1:11" ht="21" customHeight="1" thickTop="1">
      <c r="A89" s="286" t="s">
        <v>670</v>
      </c>
      <c r="B89" s="119"/>
      <c r="C89" s="287">
        <f t="shared" ref="C89:H89" si="6">C88/C75</f>
        <v>0.3817338565822333</v>
      </c>
      <c r="D89" s="322">
        <f t="shared" si="6"/>
        <v>0.35257577380314875</v>
      </c>
      <c r="E89" s="287">
        <f t="shared" si="6"/>
        <v>0.40982674508087347</v>
      </c>
      <c r="F89" s="287">
        <f t="shared" si="6"/>
        <v>0.46408854091646901</v>
      </c>
      <c r="G89" s="287">
        <f t="shared" si="6"/>
        <v>0.48744017082268892</v>
      </c>
      <c r="H89" s="287">
        <f t="shared" si="6"/>
        <v>0.44173267454940651</v>
      </c>
      <c r="I89" s="6" t="s">
        <v>702</v>
      </c>
      <c r="J89" s="5"/>
      <c r="K89" s="5"/>
    </row>
    <row r="90" spans="1:11" ht="21" customHeight="1">
      <c r="A90" s="9" t="s">
        <v>42</v>
      </c>
      <c r="B90" s="9"/>
      <c r="C90" s="288">
        <f>C88/Annual_Financials!F27-1</f>
        <v>0.40015702695629418</v>
      </c>
      <c r="D90" s="323">
        <f>D88/C88-1</f>
        <v>0.23065420560747674</v>
      </c>
      <c r="E90" s="288">
        <f>E88/D88-1</f>
        <v>1.2041414793438641</v>
      </c>
      <c r="F90" s="288">
        <f>F88/E88-1</f>
        <v>0.52639632498953026</v>
      </c>
      <c r="G90" s="288">
        <f>G88/F88-1</f>
        <v>0.39455494860733409</v>
      </c>
      <c r="H90" s="288">
        <f>H88/G88-1</f>
        <v>0.14789121524947979</v>
      </c>
      <c r="I90" s="5"/>
      <c r="J90" s="5"/>
      <c r="K90" s="5"/>
    </row>
    <row r="91" spans="1:11" ht="21" customHeight="1">
      <c r="A91" s="5"/>
      <c r="B91" s="5"/>
      <c r="C91" s="5"/>
      <c r="D91" s="318"/>
      <c r="E91" s="5"/>
      <c r="F91" s="5"/>
      <c r="G91" s="5"/>
      <c r="H91" s="5"/>
      <c r="I91" s="5"/>
      <c r="J91" s="5"/>
      <c r="K91" s="5"/>
    </row>
    <row r="92" spans="1:11" ht="21" customHeight="1">
      <c r="A92" s="149" t="s">
        <v>673</v>
      </c>
      <c r="B92" s="272"/>
      <c r="C92" s="272"/>
      <c r="D92" s="272"/>
      <c r="E92" s="272"/>
      <c r="F92" s="272"/>
      <c r="G92" s="272"/>
      <c r="H92" s="272"/>
      <c r="I92" s="5"/>
      <c r="J92" s="5"/>
      <c r="K92" s="5"/>
    </row>
    <row r="93" spans="1:11" ht="21" customHeight="1">
      <c r="A93" s="5"/>
      <c r="B93" s="5"/>
      <c r="C93" s="29"/>
      <c r="D93" s="324"/>
      <c r="E93" s="35"/>
      <c r="F93" s="35"/>
      <c r="G93" s="183"/>
      <c r="H93" s="183"/>
      <c r="I93" s="5"/>
      <c r="J93" s="5"/>
      <c r="K93" s="5"/>
    </row>
    <row r="94" spans="1:11" ht="21" customHeight="1">
      <c r="A94" s="33" t="s">
        <v>674</v>
      </c>
      <c r="B94" s="5"/>
      <c r="C94" s="289">
        <v>981000</v>
      </c>
      <c r="D94" s="325">
        <v>1307000</v>
      </c>
      <c r="E94" s="308">
        <f>E95*E75</f>
        <v>3541025</v>
      </c>
      <c r="F94" s="309">
        <f>F95*F75</f>
        <v>3341133.2500000005</v>
      </c>
      <c r="G94" s="309">
        <f>G95*G75</f>
        <v>4436177.9140000008</v>
      </c>
      <c r="H94" s="309">
        <f>H95*H75</f>
        <v>5619161.0573000005</v>
      </c>
      <c r="I94" s="6" t="s">
        <v>703</v>
      </c>
      <c r="J94" s="5"/>
      <c r="K94" s="5"/>
    </row>
    <row r="95" spans="1:11" ht="21" customHeight="1">
      <c r="A95" s="5" t="s">
        <v>675</v>
      </c>
      <c r="B95" s="5"/>
      <c r="C95" s="278">
        <f>C94/C75</f>
        <v>6.9996432393863717E-2</v>
      </c>
      <c r="D95" s="317">
        <f>D94/D75</f>
        <v>6.9990360929634787E-2</v>
      </c>
      <c r="E95" s="290">
        <v>0.1</v>
      </c>
      <c r="F95" s="290">
        <v>7.0000000000000007E-2</v>
      </c>
      <c r="G95" s="290">
        <v>7.0000000000000007E-2</v>
      </c>
      <c r="H95" s="290">
        <v>7.0000000000000007E-2</v>
      </c>
      <c r="I95" s="5"/>
      <c r="J95" s="5"/>
      <c r="K95" s="5"/>
    </row>
    <row r="96" spans="1:11" ht="21" customHeight="1">
      <c r="A96" s="5"/>
      <c r="B96" s="5"/>
      <c r="C96" s="29"/>
      <c r="D96" s="324"/>
      <c r="E96" s="35"/>
      <c r="F96" s="35"/>
      <c r="G96" s="183"/>
      <c r="H96" s="183"/>
      <c r="I96" s="5"/>
      <c r="J96" s="5"/>
      <c r="K96" s="5"/>
    </row>
    <row r="97" spans="1:11" ht="21" customHeight="1">
      <c r="A97" s="291" t="s">
        <v>704</v>
      </c>
      <c r="B97" s="292"/>
      <c r="C97" s="293">
        <f>C88-C94-Annual_Financials!E13-Annual_Financials!E14</f>
        <v>4093000</v>
      </c>
      <c r="D97" s="326">
        <f>D88-D94-Annual_Financials!D13-Annual_Financials!D14</f>
        <v>4752000</v>
      </c>
      <c r="E97" s="304">
        <f>E88-E94</f>
        <v>10971042.5</v>
      </c>
      <c r="F97" s="304">
        <f>F88-F94</f>
        <v>18810033.25</v>
      </c>
      <c r="G97" s="304">
        <f>G88-G94</f>
        <v>26454840.945999999</v>
      </c>
      <c r="H97" s="304">
        <f>H88-H94</f>
        <v>29840368.122199997</v>
      </c>
      <c r="I97" s="6" t="s">
        <v>504</v>
      </c>
      <c r="J97" s="5"/>
      <c r="K97" s="5"/>
    </row>
    <row r="98" spans="1:11" ht="21" customHeight="1">
      <c r="A98" s="9" t="s">
        <v>46</v>
      </c>
      <c r="B98" s="9"/>
      <c r="C98" s="278">
        <f t="shared" ref="C98:H98" si="7">C97/C75</f>
        <v>0.29204423831608989</v>
      </c>
      <c r="D98" s="317">
        <f t="shared" si="7"/>
        <v>0.25447145764164081</v>
      </c>
      <c r="E98" s="278">
        <f t="shared" si="7"/>
        <v>0.30982674508087349</v>
      </c>
      <c r="F98" s="278">
        <f t="shared" si="7"/>
        <v>0.394088540916469</v>
      </c>
      <c r="G98" s="278">
        <f t="shared" si="7"/>
        <v>0.41744017082268892</v>
      </c>
      <c r="H98" s="278">
        <f t="shared" si="7"/>
        <v>0.37173267454940651</v>
      </c>
      <c r="I98" s="5"/>
      <c r="J98" s="5"/>
      <c r="K98" s="5"/>
    </row>
    <row r="99" spans="1:11" ht="21" customHeight="1">
      <c r="A99" s="5"/>
      <c r="B99" s="5"/>
      <c r="C99" s="39"/>
      <c r="D99" s="327"/>
      <c r="E99" s="35"/>
      <c r="F99" s="35"/>
      <c r="G99" s="183"/>
      <c r="H99" s="183"/>
      <c r="I99" s="5"/>
      <c r="J99" s="5"/>
      <c r="K99" s="5"/>
    </row>
    <row r="100" spans="1:11" ht="21" customHeight="1">
      <c r="A100" s="33" t="s">
        <v>676</v>
      </c>
      <c r="B100" s="5"/>
      <c r="C100" s="289">
        <v>3627000</v>
      </c>
      <c r="D100" s="325">
        <v>7341000</v>
      </c>
      <c r="E100" s="310">
        <f>E101*E75</f>
        <v>12039485</v>
      </c>
      <c r="F100" s="310">
        <f>F101*F75</f>
        <v>14319142.5</v>
      </c>
      <c r="G100" s="310">
        <f>G101*G75</f>
        <v>16477232.252000002</v>
      </c>
      <c r="H100" s="310">
        <f>H101*H75</f>
        <v>19265695.053599998</v>
      </c>
      <c r="I100" s="193" t="s">
        <v>506</v>
      </c>
      <c r="J100" s="5"/>
      <c r="K100" s="5"/>
    </row>
    <row r="101" spans="1:11" ht="21" customHeight="1">
      <c r="A101" s="5" t="s">
        <v>677</v>
      </c>
      <c r="B101" s="5"/>
      <c r="C101" s="278">
        <f>C100/C75</f>
        <v>0.25879414912593651</v>
      </c>
      <c r="D101" s="317">
        <f>D100/D75</f>
        <v>0.39311341972796404</v>
      </c>
      <c r="E101" s="290">
        <v>0.34</v>
      </c>
      <c r="F101" s="290">
        <v>0.3</v>
      </c>
      <c r="G101" s="290">
        <v>0.26</v>
      </c>
      <c r="H101" s="290">
        <v>0.24</v>
      </c>
      <c r="I101" s="5"/>
      <c r="J101" s="5"/>
      <c r="K101" s="5"/>
    </row>
    <row r="102" spans="1:11" ht="21" customHeight="1">
      <c r="A102" s="40"/>
      <c r="B102" s="40"/>
      <c r="C102" s="41"/>
      <c r="D102" s="328"/>
      <c r="E102" s="187"/>
      <c r="F102" s="187"/>
      <c r="G102" s="187"/>
      <c r="H102" s="187"/>
      <c r="I102" s="104"/>
      <c r="J102" s="5"/>
      <c r="K102" s="5"/>
    </row>
    <row r="103" spans="1:11" ht="21" customHeight="1">
      <c r="A103" s="291" t="s">
        <v>706</v>
      </c>
      <c r="B103" s="292"/>
      <c r="C103" s="293">
        <f t="shared" ref="C103:H103" si="8">C97-C100</f>
        <v>466000</v>
      </c>
      <c r="D103" s="326">
        <f t="shared" si="8"/>
        <v>-2589000</v>
      </c>
      <c r="E103" s="294">
        <f t="shared" si="8"/>
        <v>-1068442.5</v>
      </c>
      <c r="F103" s="294">
        <f t="shared" si="8"/>
        <v>4490890.75</v>
      </c>
      <c r="G103" s="294">
        <f t="shared" si="8"/>
        <v>9977608.6939999964</v>
      </c>
      <c r="H103" s="294">
        <f t="shared" si="8"/>
        <v>10574673.068599999</v>
      </c>
      <c r="I103" s="5"/>
      <c r="J103" s="5"/>
      <c r="K103" s="5"/>
    </row>
    <row r="104" spans="1:11" ht="21" customHeight="1">
      <c r="A104" s="9" t="s">
        <v>45</v>
      </c>
      <c r="B104" s="9"/>
      <c r="C104" s="278">
        <f t="shared" ref="C104:H104" si="9">C103/C75</f>
        <v>3.325008919015341E-2</v>
      </c>
      <c r="D104" s="317">
        <f t="shared" si="9"/>
        <v>-0.13864196208632323</v>
      </c>
      <c r="E104" s="278">
        <f t="shared" si="9"/>
        <v>-3.0173254919126525E-2</v>
      </c>
      <c r="F104" s="278">
        <f t="shared" si="9"/>
        <v>9.4088540916468982E-2</v>
      </c>
      <c r="G104" s="278">
        <f t="shared" si="9"/>
        <v>0.15744017082268891</v>
      </c>
      <c r="H104" s="295">
        <f t="shared" si="9"/>
        <v>0.13173267454940651</v>
      </c>
      <c r="I104" s="5"/>
      <c r="J104" s="5"/>
      <c r="K104" s="5"/>
    </row>
    <row r="105" spans="1:11" ht="21" customHeight="1">
      <c r="A105" s="42"/>
      <c r="B105" s="34"/>
      <c r="C105" s="37"/>
      <c r="D105" s="329"/>
      <c r="E105" s="38"/>
      <c r="F105" s="38"/>
      <c r="G105" s="186"/>
      <c r="H105" s="188"/>
      <c r="I105" s="5"/>
      <c r="J105" s="5"/>
      <c r="K105" s="5"/>
    </row>
    <row r="106" spans="1:11" ht="21" customHeight="1" thickBot="1">
      <c r="A106" s="43" t="s">
        <v>678</v>
      </c>
      <c r="B106" s="44"/>
      <c r="C106" s="296">
        <f>Annual_Financials!E21-C103</f>
        <v>325000</v>
      </c>
      <c r="D106" s="330">
        <f>Annual_Financials!D21-D103</f>
        <v>-2348000</v>
      </c>
      <c r="E106" s="297">
        <v>-2200000</v>
      </c>
      <c r="F106" s="297">
        <v>-2000000</v>
      </c>
      <c r="G106" s="297">
        <v>-5500000</v>
      </c>
      <c r="H106" s="298">
        <v>-5500000</v>
      </c>
      <c r="I106" s="5"/>
      <c r="J106" s="5"/>
      <c r="K106" s="5"/>
    </row>
    <row r="107" spans="1:11" ht="21" customHeight="1">
      <c r="A107" s="106"/>
      <c r="B107" s="106"/>
      <c r="C107" s="53"/>
      <c r="D107" s="331"/>
      <c r="E107" s="53"/>
      <c r="F107" s="53"/>
      <c r="G107" s="53"/>
      <c r="H107" s="53"/>
      <c r="I107" s="5"/>
      <c r="J107" s="5"/>
      <c r="K107" s="5"/>
    </row>
    <row r="108" spans="1:11" ht="21" customHeight="1" thickBot="1">
      <c r="A108" s="299" t="s">
        <v>707</v>
      </c>
      <c r="B108" s="299"/>
      <c r="C108" s="303">
        <f t="shared" ref="C108:H108" si="10">C103+C106</f>
        <v>791000</v>
      </c>
      <c r="D108" s="332">
        <f t="shared" si="10"/>
        <v>-4937000</v>
      </c>
      <c r="E108" s="300">
        <f t="shared" si="10"/>
        <v>-3268442.5</v>
      </c>
      <c r="F108" s="303">
        <f t="shared" si="10"/>
        <v>2490890.75</v>
      </c>
      <c r="G108" s="303">
        <f t="shared" si="10"/>
        <v>4477608.6939999964</v>
      </c>
      <c r="H108" s="303">
        <f t="shared" si="10"/>
        <v>5074673.068599999</v>
      </c>
      <c r="I108" s="193"/>
      <c r="J108" s="5"/>
      <c r="K108" s="5"/>
    </row>
    <row r="109" spans="1:11" ht="21" customHeight="1" thickTop="1">
      <c r="A109" s="9" t="s">
        <v>48</v>
      </c>
      <c r="B109" s="119"/>
      <c r="C109" s="301">
        <f t="shared" ref="C109:H109" si="11">C108/C75</f>
        <v>5.6439529075990008E-2</v>
      </c>
      <c r="D109" s="333">
        <f t="shared" si="11"/>
        <v>-0.2643782799614437</v>
      </c>
      <c r="E109" s="301">
        <f t="shared" si="11"/>
        <v>-9.2302158273381299E-2</v>
      </c>
      <c r="F109" s="301">
        <f t="shared" si="11"/>
        <v>5.2186590433051419E-2</v>
      </c>
      <c r="G109" s="301">
        <f t="shared" si="11"/>
        <v>7.0653750741341378E-2</v>
      </c>
      <c r="H109" s="301">
        <f t="shared" si="11"/>
        <v>6.3217108600315888E-2</v>
      </c>
      <c r="I109" s="192"/>
      <c r="J109" s="106"/>
      <c r="K109" s="106"/>
    </row>
    <row r="110" spans="1:11" ht="21" customHeight="1">
      <c r="A110" s="42"/>
      <c r="B110" s="34"/>
      <c r="C110" s="45"/>
      <c r="D110" s="45"/>
      <c r="E110" s="38"/>
      <c r="F110" s="38"/>
      <c r="G110" s="186"/>
      <c r="H110" s="189"/>
      <c r="I110" s="5"/>
      <c r="J110" s="5"/>
      <c r="K110" s="5"/>
    </row>
    <row r="111" spans="1:11" ht="21" customHeight="1">
      <c r="A111" s="137"/>
      <c r="B111" s="191"/>
      <c r="C111" s="8"/>
      <c r="D111" s="8"/>
      <c r="E111" s="8"/>
      <c r="F111" s="8"/>
      <c r="G111" s="8"/>
      <c r="H111" s="8"/>
      <c r="I111" s="5"/>
      <c r="J111" s="5"/>
      <c r="K111" s="5"/>
    </row>
    <row r="112" spans="1:11" ht="21" customHeight="1">
      <c r="A112" s="12" t="s">
        <v>49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21" customHeight="1" thickBot="1">
      <c r="A113" s="9" t="s">
        <v>34</v>
      </c>
      <c r="B113" s="5"/>
      <c r="C113" s="11"/>
      <c r="D113" s="11"/>
      <c r="E113" s="11"/>
      <c r="F113" s="11"/>
      <c r="G113" s="11"/>
      <c r="H113" s="11"/>
      <c r="I113" s="5"/>
      <c r="J113" s="5"/>
      <c r="K113" s="5"/>
    </row>
    <row r="114" spans="1:11" ht="21" customHeight="1" thickBot="1">
      <c r="A114" s="5"/>
      <c r="B114" s="5"/>
      <c r="C114" s="342" t="s">
        <v>35</v>
      </c>
      <c r="D114" s="343" t="s">
        <v>36</v>
      </c>
      <c r="E114" s="344" t="str">
        <f>COMPANY_INFO!C14</f>
        <v>FY 2026E</v>
      </c>
      <c r="F114" s="344" t="str">
        <f>COMPANY_INFO!C15</f>
        <v>FY 2027E</v>
      </c>
      <c r="G114" s="344" t="str">
        <f>COMPANY_INFO!C16</f>
        <v>FY 2028E</v>
      </c>
      <c r="H114" s="345" t="str">
        <f>COMPANY_INFO!C17</f>
        <v>FY 2029E</v>
      </c>
      <c r="I114" s="5"/>
      <c r="J114" s="5"/>
      <c r="K114" s="5"/>
    </row>
    <row r="115" spans="1:11" ht="21" customHeight="1">
      <c r="A115" s="5"/>
      <c r="B115" s="5"/>
      <c r="C115" s="5"/>
      <c r="D115" s="318"/>
      <c r="E115" s="194"/>
      <c r="F115" s="194"/>
      <c r="G115" s="195"/>
      <c r="H115" s="195"/>
      <c r="I115" s="5"/>
      <c r="J115" s="5"/>
      <c r="K115" s="5"/>
    </row>
    <row r="116" spans="1:11" ht="21" customHeight="1">
      <c r="A116" s="13" t="s">
        <v>50</v>
      </c>
      <c r="B116" s="5"/>
      <c r="C116" s="29">
        <f>Annual_Financials!E60</f>
        <v>5776000</v>
      </c>
      <c r="D116" s="324">
        <f>Annual_Financials!D60</f>
        <v>6785000</v>
      </c>
      <c r="E116" s="29">
        <f>E97+E125+E106+E127</f>
        <v>10541555</v>
      </c>
      <c r="F116" s="29">
        <f>F97+F125+F106+F127</f>
        <v>18241947.5</v>
      </c>
      <c r="G116" s="175">
        <f>G97+G125+G106+G127</f>
        <v>23489799.754000001</v>
      </c>
      <c r="H116" s="175">
        <f>H97+H125+H106+H127</f>
        <v>28354054.591699999</v>
      </c>
      <c r="I116" s="5"/>
      <c r="J116" s="5"/>
      <c r="K116" s="5"/>
    </row>
    <row r="117" spans="1:11" ht="21" customHeight="1">
      <c r="A117" s="49" t="s">
        <v>41</v>
      </c>
      <c r="B117" s="50"/>
      <c r="C117" s="51">
        <f t="shared" ref="C117:H117" si="12">+C116/C75</f>
        <v>0.41212986086336068</v>
      </c>
      <c r="D117" s="334">
        <f t="shared" si="12"/>
        <v>0.36333940237763734</v>
      </c>
      <c r="E117" s="51">
        <f t="shared" si="12"/>
        <v>0.29769784172661873</v>
      </c>
      <c r="F117" s="51">
        <f t="shared" si="12"/>
        <v>0.38218659043305142</v>
      </c>
      <c r="G117" s="51">
        <f t="shared" si="12"/>
        <v>0.37065375074134144</v>
      </c>
      <c r="H117" s="51">
        <f t="shared" si="12"/>
        <v>0.35321710860031585</v>
      </c>
      <c r="I117" s="6" t="s">
        <v>504</v>
      </c>
      <c r="J117" s="106"/>
      <c r="K117" s="106"/>
    </row>
    <row r="118" spans="1:11" ht="21" customHeight="1">
      <c r="A118" s="46" t="s">
        <v>51</v>
      </c>
      <c r="B118" s="46"/>
      <c r="C118" s="48">
        <f>Annual_Financials!E80</f>
        <v>-11163000</v>
      </c>
      <c r="D118" s="335">
        <f>Annual_Financials!D80</f>
        <v>-20737000</v>
      </c>
      <c r="E118" s="48">
        <f>E119*E75</f>
        <v>-38951275</v>
      </c>
      <c r="F118" s="48">
        <f>F119*F75</f>
        <v>-40570903.75</v>
      </c>
      <c r="G118" s="184">
        <f>G119*G75</f>
        <v>-34855683.610000007</v>
      </c>
      <c r="H118" s="185">
        <f>H119*H75</f>
        <v>-32109491.756000001</v>
      </c>
      <c r="I118" s="5"/>
      <c r="J118" s="5"/>
      <c r="K118" s="5"/>
    </row>
    <row r="119" spans="1:11" ht="21" customHeight="1" thickBot="1">
      <c r="A119" s="49" t="s">
        <v>41</v>
      </c>
      <c r="B119" s="50"/>
      <c r="C119" s="51">
        <f>+C118/C75</f>
        <v>-0.79650374598644313</v>
      </c>
      <c r="D119" s="334">
        <f>+D118/D75</f>
        <v>-1.1104744564635323</v>
      </c>
      <c r="E119" s="181">
        <v>-1.1000000000000001</v>
      </c>
      <c r="F119" s="181">
        <v>-0.85</v>
      </c>
      <c r="G119" s="181">
        <v>-0.55000000000000004</v>
      </c>
      <c r="H119" s="182">
        <v>-0.4</v>
      </c>
      <c r="I119" s="6" t="s">
        <v>507</v>
      </c>
      <c r="J119" s="5"/>
      <c r="K119" s="5"/>
    </row>
    <row r="120" spans="1:11" ht="21" customHeight="1">
      <c r="A120" s="52" t="s">
        <v>52</v>
      </c>
      <c r="B120" s="53"/>
      <c r="C120" s="54">
        <f t="shared" ref="C120:D120" si="13">C116+C118</f>
        <v>-5387000</v>
      </c>
      <c r="D120" s="336">
        <f t="shared" si="13"/>
        <v>-13952000</v>
      </c>
      <c r="E120" s="55">
        <f>E116+E118</f>
        <v>-28409720</v>
      </c>
      <c r="F120" s="55">
        <f>F116+F118</f>
        <v>-22328956.25</v>
      </c>
      <c r="G120" s="190">
        <f>G116+G118</f>
        <v>-11365883.856000006</v>
      </c>
      <c r="H120" s="188">
        <f>H116+H118</f>
        <v>-3755437.1643000022</v>
      </c>
      <c r="I120" s="5"/>
      <c r="J120" s="5"/>
      <c r="K120" s="5"/>
    </row>
    <row r="121" spans="1:11" ht="21" customHeight="1" thickBot="1">
      <c r="A121" s="56" t="s">
        <v>53</v>
      </c>
      <c r="B121" s="57"/>
      <c r="C121" s="58">
        <f t="shared" ref="C121:H121" si="14">C120/C75</f>
        <v>-0.3843738851230824</v>
      </c>
      <c r="D121" s="337">
        <f t="shared" si="14"/>
        <v>-0.74713505408589487</v>
      </c>
      <c r="E121" s="59">
        <f t="shared" si="14"/>
        <v>-0.80230215827338125</v>
      </c>
      <c r="F121" s="59">
        <f t="shared" si="14"/>
        <v>-0.46781340956694856</v>
      </c>
      <c r="G121" s="59">
        <f t="shared" si="14"/>
        <v>-0.17934624925865866</v>
      </c>
      <c r="H121" s="168">
        <f t="shared" si="14"/>
        <v>-4.6782891399684126E-2</v>
      </c>
      <c r="I121" s="5"/>
      <c r="J121" s="5"/>
      <c r="K121" s="5"/>
    </row>
    <row r="122" spans="1:11" ht="21" customHeight="1">
      <c r="A122" s="5"/>
      <c r="B122" s="5"/>
      <c r="C122" s="5"/>
      <c r="D122" s="318"/>
      <c r="E122" s="5"/>
      <c r="F122" s="5"/>
      <c r="G122" s="5"/>
      <c r="H122" s="169"/>
      <c r="I122" s="5"/>
      <c r="J122" s="5"/>
      <c r="K122" s="5"/>
    </row>
    <row r="123" spans="1:11" ht="21" customHeight="1">
      <c r="A123" s="13" t="s">
        <v>54</v>
      </c>
      <c r="B123" s="5"/>
      <c r="C123" s="5"/>
      <c r="D123" s="318"/>
      <c r="E123" s="5"/>
      <c r="F123" s="5"/>
      <c r="G123" s="5"/>
      <c r="H123" s="5"/>
      <c r="I123" s="5"/>
      <c r="J123" s="5"/>
      <c r="K123" s="5"/>
    </row>
    <row r="124" spans="1:11" ht="21" customHeight="1">
      <c r="A124" s="5" t="s">
        <v>55</v>
      </c>
      <c r="B124" s="5"/>
      <c r="C124" s="29">
        <f>Annual_Financials!E67</f>
        <v>3627000</v>
      </c>
      <c r="D124" s="324">
        <f>Annual_Financials!D67</f>
        <v>7341000</v>
      </c>
      <c r="E124" s="27">
        <f>E100</f>
        <v>12039485</v>
      </c>
      <c r="F124" s="27">
        <f>F100</f>
        <v>14319142.5</v>
      </c>
      <c r="G124" s="175">
        <f>G100</f>
        <v>16477232.252000002</v>
      </c>
      <c r="H124" s="175">
        <f>H100</f>
        <v>19265695.053599998</v>
      </c>
      <c r="I124" s="5"/>
      <c r="J124" s="5"/>
      <c r="K124" s="5"/>
    </row>
    <row r="125" spans="1:11" ht="21" customHeight="1">
      <c r="A125" s="5" t="s">
        <v>56</v>
      </c>
      <c r="B125" s="5"/>
      <c r="C125" s="29">
        <f>Annual_Financials!E68</f>
        <v>981000</v>
      </c>
      <c r="D125" s="324">
        <f>Annual_Financials!D68</f>
        <v>1307000</v>
      </c>
      <c r="E125" s="27">
        <f>E94</f>
        <v>3541025</v>
      </c>
      <c r="F125" s="27">
        <f>F94</f>
        <v>3341133.2500000005</v>
      </c>
      <c r="G125" s="175">
        <f>G94</f>
        <v>4436177.9140000008</v>
      </c>
      <c r="H125" s="175">
        <f>H94</f>
        <v>5619161.0573000005</v>
      </c>
      <c r="I125" s="5"/>
      <c r="J125" s="5"/>
      <c r="K125" s="5"/>
    </row>
    <row r="126" spans="1:11" ht="21" customHeight="1">
      <c r="A126" s="5" t="s">
        <v>57</v>
      </c>
      <c r="B126" s="5"/>
      <c r="C126" s="29">
        <f>Annual_Financials!E71</f>
        <v>0</v>
      </c>
      <c r="D126" s="324">
        <f>Annual_Financials!D71</f>
        <v>0</v>
      </c>
      <c r="E126" s="27">
        <v>0</v>
      </c>
      <c r="F126" s="27">
        <v>0</v>
      </c>
      <c r="G126" s="27">
        <v>0</v>
      </c>
      <c r="H126" s="27">
        <v>0</v>
      </c>
      <c r="I126" s="5"/>
      <c r="J126" s="5"/>
      <c r="K126" s="5"/>
    </row>
    <row r="127" spans="1:11" ht="21" customHeight="1">
      <c r="A127" s="5" t="s">
        <v>58</v>
      </c>
      <c r="B127" s="5"/>
      <c r="C127" s="27">
        <f>Annual_Financials!E73+Annual_Financials!E74+Annual_Financials!E75+Annual_Financials!E76+Annual_Financials!E77+Annual_Financials!E79</f>
        <v>0</v>
      </c>
      <c r="D127" s="338"/>
      <c r="E127" s="27">
        <f>-E75*0.05</f>
        <v>-1770512.5</v>
      </c>
      <c r="F127" s="27">
        <f>-F75*0.04</f>
        <v>-1909219</v>
      </c>
      <c r="G127" s="175">
        <f>-G75*0.03</f>
        <v>-1901219.1059999999</v>
      </c>
      <c r="H127" s="175">
        <f>-H75*0.02</f>
        <v>-1605474.5878000001</v>
      </c>
      <c r="I127" s="5"/>
      <c r="J127" s="5"/>
      <c r="K127" s="5"/>
    </row>
    <row r="128" spans="1:11" ht="21" customHeight="1">
      <c r="A128" s="5" t="s">
        <v>59</v>
      </c>
      <c r="B128" s="5"/>
      <c r="C128" s="29">
        <f>Annual_Financials!E78</f>
        <v>0</v>
      </c>
      <c r="D128" s="324"/>
      <c r="E128" s="27">
        <v>0</v>
      </c>
      <c r="F128" s="27">
        <v>0</v>
      </c>
      <c r="G128" s="27">
        <v>0</v>
      </c>
      <c r="H128" s="27">
        <v>0</v>
      </c>
      <c r="I128" s="5"/>
      <c r="J128" s="5"/>
      <c r="K128" s="5"/>
    </row>
    <row r="129" spans="1:11" ht="21" customHeight="1">
      <c r="A129" s="5"/>
      <c r="B129" s="5"/>
      <c r="C129" s="27"/>
      <c r="D129" s="338"/>
      <c r="E129" s="27"/>
      <c r="F129" s="27"/>
      <c r="G129" s="27"/>
      <c r="H129" s="27"/>
      <c r="I129" s="5"/>
      <c r="J129" s="5"/>
      <c r="K129" s="5"/>
    </row>
    <row r="130" spans="1:11" ht="21" customHeight="1">
      <c r="A130" s="5" t="s">
        <v>60</v>
      </c>
      <c r="B130" s="5"/>
      <c r="C130" s="29">
        <f>Annual_Financials!E61</f>
        <v>-10796000</v>
      </c>
      <c r="D130" s="324">
        <f>Annual_Financials!D61</f>
        <v>-19575000</v>
      </c>
      <c r="E130" s="27">
        <f>E118</f>
        <v>-38951275</v>
      </c>
      <c r="F130" s="27">
        <f>F118</f>
        <v>-40570903.75</v>
      </c>
      <c r="G130" s="175">
        <f>G118</f>
        <v>-34855683.610000007</v>
      </c>
      <c r="H130" s="175">
        <f>H118</f>
        <v>-32109491.756000001</v>
      </c>
      <c r="I130" s="5"/>
      <c r="J130" s="5"/>
      <c r="K130" s="5"/>
    </row>
    <row r="131" spans="1:11" ht="21" customHeight="1">
      <c r="A131" s="5" t="s">
        <v>61</v>
      </c>
      <c r="B131" s="5"/>
      <c r="C131" s="29">
        <f>Annual_Financials!E62</f>
        <v>11830000</v>
      </c>
      <c r="D131" s="324">
        <f>Annual_Financials!D62</f>
        <v>26350000</v>
      </c>
      <c r="E131" s="27"/>
      <c r="F131" s="27"/>
      <c r="G131" s="27"/>
      <c r="H131" s="75"/>
      <c r="I131" s="5"/>
      <c r="J131" s="5"/>
      <c r="K131" s="5"/>
    </row>
    <row r="132" spans="1:11" ht="21" customHeight="1">
      <c r="A132" s="34"/>
      <c r="B132" s="46"/>
      <c r="C132" s="48"/>
      <c r="D132" s="335"/>
      <c r="E132" s="60"/>
      <c r="F132" s="60"/>
      <c r="G132" s="60"/>
      <c r="H132" s="170"/>
      <c r="I132" s="5"/>
      <c r="J132" s="5"/>
      <c r="K132" s="5"/>
    </row>
    <row r="133" spans="1:11" ht="21" customHeight="1">
      <c r="A133" s="61" t="s">
        <v>62</v>
      </c>
      <c r="B133" s="61"/>
      <c r="C133" s="62">
        <f>Annual_Financials!E66</f>
        <v>0</v>
      </c>
      <c r="D133" s="339">
        <f>Annual_Financials!D66</f>
        <v>0</v>
      </c>
      <c r="E133" s="27"/>
      <c r="F133" s="27"/>
      <c r="G133" s="27"/>
      <c r="H133" s="27"/>
      <c r="I133" s="5"/>
      <c r="J133" s="5"/>
      <c r="K133" s="5"/>
    </row>
    <row r="134" spans="1:11" ht="21" customHeight="1">
      <c r="A134" s="5" t="s">
        <v>63</v>
      </c>
      <c r="B134" s="5"/>
      <c r="C134" s="29">
        <f>Annual_Financials!E36</f>
        <v>1749000</v>
      </c>
      <c r="D134" s="324">
        <f>Annual_Financials!D36</f>
        <v>1637000</v>
      </c>
      <c r="E134" s="27"/>
      <c r="F134" s="27"/>
      <c r="G134" s="27"/>
      <c r="H134" s="27"/>
      <c r="I134" s="5"/>
      <c r="J134" s="5"/>
      <c r="K134" s="5"/>
    </row>
    <row r="135" spans="1:11" ht="21" customHeight="1">
      <c r="A135" s="63" t="s">
        <v>64</v>
      </c>
      <c r="B135" s="61"/>
      <c r="C135" s="64">
        <f t="shared" ref="C135:D135" si="15">C133+C134</f>
        <v>1749000</v>
      </c>
      <c r="D135" s="340">
        <f t="shared" si="15"/>
        <v>1637000</v>
      </c>
      <c r="E135" s="27">
        <f>E133+E134</f>
        <v>0</v>
      </c>
      <c r="F135" s="27">
        <f>F133+F134</f>
        <v>0</v>
      </c>
      <c r="G135" s="27">
        <f>G133+G134</f>
        <v>0</v>
      </c>
      <c r="H135" s="27">
        <f>H133+H134</f>
        <v>0</v>
      </c>
      <c r="I135" s="5"/>
      <c r="J135" s="5"/>
      <c r="K135" s="5"/>
    </row>
    <row r="136" spans="1:11" ht="21" customHeight="1">
      <c r="A136" s="8"/>
      <c r="B136" s="8"/>
      <c r="C136" s="8"/>
      <c r="D136" s="341"/>
      <c r="E136" s="8"/>
      <c r="F136" s="8"/>
      <c r="G136" s="8"/>
      <c r="H136" s="8"/>
      <c r="I136" s="5"/>
      <c r="J136" s="5"/>
      <c r="K136" s="5"/>
    </row>
    <row r="137" spans="1:11" ht="21" customHeight="1">
      <c r="A137" s="5"/>
      <c r="B137" s="5"/>
      <c r="C137" s="5"/>
      <c r="D137" s="5"/>
      <c r="E137" s="5"/>
      <c r="F137" s="5"/>
      <c r="G137" s="5"/>
      <c r="H137" s="106"/>
      <c r="I137" s="5"/>
      <c r="J137" s="5"/>
      <c r="K137" s="5"/>
    </row>
    <row r="138" spans="1:11" ht="21" customHeight="1">
      <c r="A138" s="12" t="s">
        <v>65</v>
      </c>
      <c r="B138" s="5"/>
      <c r="C138" s="5"/>
      <c r="D138" s="5"/>
      <c r="E138" s="5"/>
      <c r="F138" s="5"/>
      <c r="G138" s="5"/>
      <c r="H138" s="106"/>
      <c r="I138" s="5"/>
      <c r="J138" s="5"/>
      <c r="K138" s="5"/>
    </row>
    <row r="139" spans="1:11" ht="21" customHeight="1">
      <c r="A139" s="5"/>
      <c r="B139" s="5"/>
      <c r="C139" s="11"/>
      <c r="D139" s="11"/>
      <c r="E139" s="11"/>
      <c r="F139" s="11"/>
      <c r="G139" s="11"/>
      <c r="H139" s="11"/>
      <c r="I139" s="5"/>
      <c r="J139" s="5"/>
      <c r="K139" s="5"/>
    </row>
    <row r="140" spans="1:11" ht="21" customHeight="1">
      <c r="A140" s="5"/>
      <c r="B140" s="5"/>
      <c r="C140" s="18"/>
      <c r="D140" s="5"/>
      <c r="E140" s="5"/>
      <c r="F140" s="5"/>
      <c r="G140" s="5"/>
      <c r="H140" s="5"/>
      <c r="I140" s="5"/>
      <c r="J140" s="5"/>
      <c r="K140" s="5"/>
    </row>
    <row r="141" spans="1:11" ht="21" customHeight="1">
      <c r="A141" s="5"/>
      <c r="B141" s="5"/>
      <c r="C141" s="65" t="s">
        <v>35</v>
      </c>
      <c r="D141" s="66" t="s">
        <v>36</v>
      </c>
      <c r="E141" s="18" t="str">
        <f>COMPANY_INFO!C14</f>
        <v>FY 2026E</v>
      </c>
      <c r="F141" s="18" t="s">
        <v>38</v>
      </c>
      <c r="G141" s="173" t="s">
        <v>39</v>
      </c>
      <c r="H141" s="173" t="s">
        <v>40</v>
      </c>
      <c r="I141" s="5"/>
      <c r="J141" s="5"/>
      <c r="K141" s="5"/>
    </row>
    <row r="142" spans="1:11" ht="21" customHeight="1">
      <c r="A142" s="12" t="s">
        <v>66</v>
      </c>
      <c r="B142" s="5"/>
      <c r="C142" s="65"/>
      <c r="D142" s="65"/>
      <c r="E142" s="5"/>
      <c r="F142" s="5"/>
      <c r="G142" s="172"/>
      <c r="H142" s="172"/>
      <c r="I142" s="5"/>
      <c r="J142" s="5"/>
      <c r="K142" s="5"/>
    </row>
    <row r="143" spans="1:11" ht="21" customHeight="1">
      <c r="A143" s="5" t="s">
        <v>693</v>
      </c>
      <c r="B143" s="5"/>
      <c r="C143" s="311">
        <f t="shared" ref="C143:H143" si="16">C76</f>
        <v>0.34928275729276992</v>
      </c>
      <c r="D143" s="312">
        <f t="shared" si="16"/>
        <v>0.3324295397788084</v>
      </c>
      <c r="E143" s="313">
        <f t="shared" si="16"/>
        <v>0.896232729998929</v>
      </c>
      <c r="F143" s="313">
        <f t="shared" si="16"/>
        <v>0.34792821287621511</v>
      </c>
      <c r="G143" s="314">
        <f t="shared" si="16"/>
        <v>0.32774648062899026</v>
      </c>
      <c r="H143" s="314">
        <f t="shared" si="16"/>
        <v>0.41773828587712347</v>
      </c>
      <c r="I143" s="69"/>
      <c r="J143" s="5"/>
      <c r="K143" s="5"/>
    </row>
    <row r="144" spans="1:11" ht="21" customHeight="1">
      <c r="A144" s="5" t="s">
        <v>694</v>
      </c>
      <c r="B144" s="5"/>
      <c r="C144" s="315">
        <f t="shared" ref="C144:H144" si="17">C66</f>
        <v>6.7199999999999996E-2</v>
      </c>
      <c r="D144" s="313">
        <f t="shared" si="17"/>
        <v>7.6396206533192901E-2</v>
      </c>
      <c r="E144" s="313">
        <f t="shared" si="17"/>
        <v>0.1</v>
      </c>
      <c r="F144" s="313">
        <f t="shared" si="17"/>
        <v>0.15</v>
      </c>
      <c r="G144" s="314">
        <f t="shared" si="17"/>
        <v>0.18</v>
      </c>
      <c r="H144" s="314">
        <f t="shared" si="17"/>
        <v>0.2</v>
      </c>
      <c r="I144" s="69"/>
      <c r="J144" s="5"/>
      <c r="K144" s="5"/>
    </row>
    <row r="145" spans="1:11" ht="21" customHeight="1">
      <c r="A145" s="5" t="s">
        <v>695</v>
      </c>
      <c r="B145" s="5"/>
      <c r="C145" s="311">
        <f t="shared" ref="C145:H145" si="18">C70</f>
        <v>0.96409999999999996</v>
      </c>
      <c r="D145" s="312">
        <f t="shared" si="18"/>
        <v>0.49848664297933931</v>
      </c>
      <c r="E145" s="313">
        <f t="shared" si="18"/>
        <v>0.45</v>
      </c>
      <c r="F145" s="313">
        <f t="shared" si="18"/>
        <v>0.4</v>
      </c>
      <c r="G145" s="314">
        <f t="shared" si="18"/>
        <v>0.3</v>
      </c>
      <c r="H145" s="314">
        <f t="shared" si="18"/>
        <v>0.25</v>
      </c>
      <c r="I145" s="69"/>
      <c r="J145" s="5"/>
      <c r="K145" s="5"/>
    </row>
    <row r="146" spans="1:11" ht="21" customHeight="1">
      <c r="A146" s="5" t="s">
        <v>696</v>
      </c>
      <c r="B146" s="5"/>
      <c r="C146" s="312">
        <f t="shared" ref="C146:H146" si="19">C74</f>
        <v>-0.1152</v>
      </c>
      <c r="D146" s="312">
        <f t="shared" si="19"/>
        <v>0.22175572519083975</v>
      </c>
      <c r="E146" s="313">
        <f t="shared" si="19"/>
        <v>3.5</v>
      </c>
      <c r="F146" s="313">
        <f t="shared" si="19"/>
        <v>0.35</v>
      </c>
      <c r="G146" s="314">
        <f t="shared" si="19"/>
        <v>0.4</v>
      </c>
      <c r="H146" s="314">
        <f t="shared" si="19"/>
        <v>0.3</v>
      </c>
      <c r="I146" s="69"/>
      <c r="J146" s="5"/>
      <c r="K146" s="5"/>
    </row>
    <row r="147" spans="1:11" ht="21" customHeight="1">
      <c r="A147" s="12" t="s">
        <v>67</v>
      </c>
      <c r="B147" s="5"/>
      <c r="C147" s="69"/>
      <c r="D147" s="69"/>
      <c r="E147" s="69"/>
      <c r="F147" s="69"/>
      <c r="G147" s="172"/>
      <c r="H147" s="172"/>
      <c r="I147" s="69"/>
      <c r="J147" s="5"/>
      <c r="K147" s="5"/>
    </row>
    <row r="148" spans="1:11" ht="21" customHeight="1">
      <c r="A148" s="5"/>
      <c r="B148" s="5"/>
      <c r="C148" s="68"/>
      <c r="D148" s="68"/>
      <c r="E148" s="69"/>
      <c r="F148" s="69"/>
      <c r="G148" s="172"/>
      <c r="H148" s="172"/>
      <c r="I148" s="69"/>
      <c r="J148" s="5"/>
      <c r="K148" s="5"/>
    </row>
    <row r="149" spans="1:11" ht="21" customHeight="1">
      <c r="A149" s="5" t="s">
        <v>681</v>
      </c>
      <c r="B149" s="5"/>
      <c r="C149" s="68">
        <f t="shared" ref="C149:H149" si="20">C89</f>
        <v>0.3817338565822333</v>
      </c>
      <c r="D149" s="68">
        <f t="shared" si="20"/>
        <v>0.35257577380314875</v>
      </c>
      <c r="E149" s="69">
        <f t="shared" si="20"/>
        <v>0.40982674508087347</v>
      </c>
      <c r="F149" s="69">
        <f t="shared" si="20"/>
        <v>0.46408854091646901</v>
      </c>
      <c r="G149" s="172">
        <f t="shared" si="20"/>
        <v>0.48744017082268892</v>
      </c>
      <c r="H149" s="172">
        <f t="shared" si="20"/>
        <v>0.44173267454940651</v>
      </c>
      <c r="I149" s="69"/>
      <c r="J149" s="5"/>
      <c r="K149" s="5"/>
    </row>
    <row r="150" spans="1:11" ht="21" customHeight="1">
      <c r="A150" s="5" t="s">
        <v>69</v>
      </c>
      <c r="B150" s="5"/>
      <c r="C150" s="68">
        <f t="shared" ref="C150:H150" si="21">C97/C75</f>
        <v>0.29204423831608989</v>
      </c>
      <c r="D150" s="68">
        <f t="shared" si="21"/>
        <v>0.25447145764164081</v>
      </c>
      <c r="E150" s="69">
        <f t="shared" si="21"/>
        <v>0.30982674508087349</v>
      </c>
      <c r="F150" s="69">
        <f t="shared" si="21"/>
        <v>0.394088540916469</v>
      </c>
      <c r="G150" s="172">
        <f t="shared" si="21"/>
        <v>0.41744017082268892</v>
      </c>
      <c r="H150" s="172">
        <f t="shared" si="21"/>
        <v>0.37173267454940651</v>
      </c>
      <c r="I150" s="69"/>
      <c r="J150" s="5"/>
      <c r="K150" s="5"/>
    </row>
    <row r="151" spans="1:11" ht="21" customHeight="1">
      <c r="A151" s="5" t="s">
        <v>68</v>
      </c>
      <c r="B151" s="5"/>
      <c r="C151" s="68">
        <f t="shared" ref="C151:H151" si="22">C103/C75</f>
        <v>3.325008919015341E-2</v>
      </c>
      <c r="D151" s="68">
        <f t="shared" si="22"/>
        <v>-0.13864196208632323</v>
      </c>
      <c r="E151" s="69">
        <f t="shared" si="22"/>
        <v>-3.0173254919126525E-2</v>
      </c>
      <c r="F151" s="69">
        <f t="shared" si="22"/>
        <v>9.4088540916468982E-2</v>
      </c>
      <c r="G151" s="172">
        <f t="shared" si="22"/>
        <v>0.15744017082268891</v>
      </c>
      <c r="H151" s="172">
        <f t="shared" si="22"/>
        <v>0.13173267454940651</v>
      </c>
      <c r="I151" s="69"/>
      <c r="J151" s="5"/>
      <c r="K151" s="5"/>
    </row>
    <row r="152" spans="1:11" ht="21" customHeight="1">
      <c r="A152" s="5" t="s">
        <v>70</v>
      </c>
      <c r="B152" s="5"/>
      <c r="C152" s="68">
        <f t="shared" ref="C152:H152" si="23">C109</f>
        <v>5.6439529075990008E-2</v>
      </c>
      <c r="D152" s="69">
        <f t="shared" si="23"/>
        <v>-0.2643782799614437</v>
      </c>
      <c r="E152" s="69">
        <f t="shared" si="23"/>
        <v>-9.2302158273381299E-2</v>
      </c>
      <c r="F152" s="69">
        <f t="shared" si="23"/>
        <v>5.2186590433051419E-2</v>
      </c>
      <c r="G152" s="172">
        <f t="shared" si="23"/>
        <v>7.0653750741341378E-2</v>
      </c>
      <c r="H152" s="172">
        <f t="shared" si="23"/>
        <v>6.3217108600315888E-2</v>
      </c>
      <c r="I152" s="69"/>
      <c r="J152" s="5"/>
      <c r="K152" s="5"/>
    </row>
    <row r="153" spans="1:11" ht="21" customHeight="1">
      <c r="A153" s="5"/>
      <c r="B153" s="5"/>
      <c r="C153" s="69"/>
      <c r="D153" s="69"/>
      <c r="E153" s="69"/>
      <c r="F153" s="69"/>
      <c r="G153" s="172"/>
      <c r="H153" s="172"/>
      <c r="I153" s="69"/>
      <c r="J153" s="5"/>
      <c r="K153" s="5"/>
    </row>
    <row r="154" spans="1:11" ht="21" customHeight="1">
      <c r="A154" s="5" t="s">
        <v>682</v>
      </c>
      <c r="B154" s="5"/>
      <c r="C154" s="68"/>
      <c r="D154" s="68"/>
      <c r="E154" s="69"/>
      <c r="F154" s="69"/>
      <c r="G154" s="172"/>
      <c r="H154" s="172"/>
      <c r="I154" s="69"/>
      <c r="J154" s="5"/>
      <c r="K154" s="5"/>
    </row>
    <row r="155" spans="1:11" ht="21" customHeight="1">
      <c r="A155" s="12" t="s">
        <v>683</v>
      </c>
      <c r="B155" s="5"/>
      <c r="C155" s="68">
        <f t="shared" ref="C155:H155" si="24">C80</f>
        <v>0.30400421496311908</v>
      </c>
      <c r="D155" s="68">
        <f t="shared" si="24"/>
        <v>0.15981399902104748</v>
      </c>
      <c r="E155" s="69">
        <f t="shared" si="24"/>
        <v>0.2</v>
      </c>
      <c r="F155" s="69">
        <f t="shared" si="24"/>
        <v>0.25</v>
      </c>
      <c r="G155" s="172">
        <f t="shared" si="24"/>
        <v>0.3</v>
      </c>
      <c r="H155" s="172">
        <f t="shared" si="24"/>
        <v>0.3</v>
      </c>
      <c r="I155" s="69"/>
      <c r="J155" s="5"/>
      <c r="K155" s="5"/>
    </row>
    <row r="156" spans="1:11" ht="21" customHeight="1">
      <c r="A156" s="5" t="s">
        <v>684</v>
      </c>
      <c r="B156" s="5"/>
      <c r="C156" s="68">
        <f t="shared" ref="C156:H156" si="25">C83</f>
        <v>0.50651401500197391</v>
      </c>
      <c r="D156" s="68">
        <f t="shared" si="25"/>
        <v>0.62948976903486431</v>
      </c>
      <c r="E156" s="69">
        <f t="shared" si="25"/>
        <v>0.65</v>
      </c>
      <c r="F156" s="69">
        <f t="shared" si="25"/>
        <v>0.65</v>
      </c>
      <c r="G156" s="172">
        <f t="shared" si="25"/>
        <v>0.65</v>
      </c>
      <c r="H156" s="172">
        <f t="shared" si="25"/>
        <v>0.65</v>
      </c>
      <c r="I156" s="69"/>
      <c r="J156" s="5"/>
      <c r="K156" s="5"/>
    </row>
    <row r="157" spans="1:11" ht="21" customHeight="1">
      <c r="A157" s="5" t="s">
        <v>685</v>
      </c>
      <c r="B157" s="5"/>
      <c r="C157" s="68">
        <f t="shared" ref="C157:H157" si="26">C86</f>
        <v>0.13244274809160306</v>
      </c>
      <c r="D157" s="68">
        <f t="shared" si="26"/>
        <v>-0.38644173695720085</v>
      </c>
      <c r="E157" s="69">
        <f t="shared" si="26"/>
        <v>0.2</v>
      </c>
      <c r="F157" s="69">
        <f t="shared" si="26"/>
        <v>0.3</v>
      </c>
      <c r="G157" s="172">
        <f t="shared" si="26"/>
        <v>0.35</v>
      </c>
      <c r="H157" s="172">
        <f t="shared" si="26"/>
        <v>0.25</v>
      </c>
      <c r="I157" s="69"/>
      <c r="J157" s="5"/>
      <c r="K157" s="5"/>
    </row>
    <row r="158" spans="1:11" ht="21" customHeight="1">
      <c r="A158" s="5"/>
      <c r="B158" s="5"/>
      <c r="C158" s="68"/>
      <c r="D158" s="68"/>
      <c r="E158" s="69"/>
      <c r="F158" s="69"/>
      <c r="G158" s="172"/>
      <c r="H158" s="172"/>
      <c r="I158" s="69"/>
      <c r="J158" s="5"/>
      <c r="K158" s="5"/>
    </row>
    <row r="159" spans="1:11" ht="21" customHeight="1">
      <c r="A159" s="12" t="s">
        <v>71</v>
      </c>
      <c r="B159" s="5"/>
      <c r="C159" s="69"/>
      <c r="D159" s="69"/>
      <c r="E159" s="69"/>
      <c r="F159" s="69"/>
      <c r="G159" s="172"/>
      <c r="H159" s="172"/>
      <c r="I159" s="69"/>
      <c r="J159" s="5"/>
      <c r="K159" s="5"/>
    </row>
    <row r="160" spans="1:11" ht="21" customHeight="1">
      <c r="A160" s="5" t="s">
        <v>686</v>
      </c>
      <c r="B160" s="5"/>
      <c r="C160" s="68">
        <f t="shared" ref="C160:H160" si="27">C65</f>
        <v>0.27085265786657153</v>
      </c>
      <c r="D160" s="68">
        <f t="shared" si="27"/>
        <v>0.21880689729035022</v>
      </c>
      <c r="E160" s="69">
        <f t="shared" si="27"/>
        <v>0.12692934955274249</v>
      </c>
      <c r="F160" s="69">
        <f t="shared" si="27"/>
        <v>0.10829119131959193</v>
      </c>
      <c r="G160" s="172">
        <f t="shared" si="27"/>
        <v>9.6240967399577548E-2</v>
      </c>
      <c r="H160" s="172">
        <f t="shared" si="27"/>
        <v>9.1175614931773119E-2</v>
      </c>
      <c r="I160" s="69"/>
      <c r="J160" s="5"/>
      <c r="K160" s="5"/>
    </row>
    <row r="161" spans="1:11" ht="21" customHeight="1">
      <c r="A161" s="5" t="s">
        <v>687</v>
      </c>
      <c r="B161" s="5"/>
      <c r="C161" s="69">
        <f t="shared" ref="C161:H161" si="28">C69</f>
        <v>0.54220478059222266</v>
      </c>
      <c r="D161" s="69">
        <f t="shared" si="28"/>
        <v>0.60977830138160005</v>
      </c>
      <c r="E161" s="69">
        <f t="shared" si="28"/>
        <v>0.46628165573527441</v>
      </c>
      <c r="F161" s="69">
        <f t="shared" si="28"/>
        <v>0.48429457280699595</v>
      </c>
      <c r="G161" s="172">
        <f t="shared" si="28"/>
        <v>0.47417406397555945</v>
      </c>
      <c r="H161" s="172">
        <f t="shared" si="28"/>
        <v>0.4679347345070447</v>
      </c>
      <c r="I161" s="69"/>
      <c r="J161" s="5"/>
      <c r="K161" s="5"/>
    </row>
    <row r="162" spans="1:11" ht="21" customHeight="1">
      <c r="A162" s="5" t="s">
        <v>688</v>
      </c>
      <c r="B162" s="5"/>
      <c r="C162" s="69">
        <f t="shared" ref="C162:H162" si="29">C73</f>
        <v>0.18694256154120584</v>
      </c>
      <c r="D162" s="69">
        <f t="shared" si="29"/>
        <v>0.1714148013280497</v>
      </c>
      <c r="E162" s="69">
        <f t="shared" si="29"/>
        <v>0.4067889947119831</v>
      </c>
      <c r="F162" s="69">
        <f t="shared" si="29"/>
        <v>0.40741423587341213</v>
      </c>
      <c r="G162" s="172">
        <f t="shared" si="29"/>
        <v>0.42958496862486295</v>
      </c>
      <c r="H162" s="172">
        <f t="shared" si="29"/>
        <v>0.44088965056118218</v>
      </c>
      <c r="I162" s="69"/>
      <c r="J162" s="5"/>
      <c r="K162" s="5"/>
    </row>
    <row r="163" spans="1:11" ht="21" customHeight="1">
      <c r="A163" s="5"/>
      <c r="B163" s="5"/>
      <c r="C163" s="68"/>
      <c r="D163" s="69"/>
      <c r="E163" s="69"/>
      <c r="F163" s="69"/>
      <c r="G163" s="172"/>
      <c r="H163" s="172"/>
      <c r="I163" s="69"/>
      <c r="J163" s="5"/>
      <c r="K163" s="5"/>
    </row>
    <row r="164" spans="1:11" ht="21" customHeight="1">
      <c r="A164" s="5"/>
      <c r="B164" s="5"/>
      <c r="C164" s="69"/>
      <c r="D164" s="69"/>
      <c r="E164" s="69"/>
      <c r="F164" s="69"/>
      <c r="G164" s="172"/>
      <c r="H164" s="172"/>
      <c r="I164" s="69"/>
      <c r="J164" s="5"/>
      <c r="K164" s="5"/>
    </row>
    <row r="165" spans="1:11" ht="21" customHeight="1">
      <c r="A165" s="12" t="s">
        <v>72</v>
      </c>
      <c r="B165" s="5"/>
      <c r="C165" s="68"/>
      <c r="D165" s="68"/>
      <c r="E165" s="69"/>
      <c r="F165" s="69"/>
      <c r="G165" s="172"/>
      <c r="H165" s="172"/>
      <c r="I165" s="69"/>
      <c r="J165" s="5"/>
      <c r="K165" s="5"/>
    </row>
    <row r="166" spans="1:11" ht="21" customHeight="1">
      <c r="A166" s="5" t="s">
        <v>73</v>
      </c>
      <c r="B166" s="5"/>
      <c r="C166" s="67" t="s">
        <v>43</v>
      </c>
      <c r="D166" s="68"/>
      <c r="E166" s="69"/>
      <c r="F166" s="69"/>
      <c r="G166" s="172"/>
      <c r="H166" s="172"/>
      <c r="I166" s="69"/>
      <c r="J166" s="5"/>
      <c r="K166" s="5"/>
    </row>
    <row r="167" spans="1:11" ht="21" customHeight="1">
      <c r="A167" s="5" t="s">
        <v>450</v>
      </c>
      <c r="B167" s="5"/>
      <c r="C167" s="70" t="s">
        <v>43</v>
      </c>
      <c r="D167" s="69"/>
      <c r="E167" s="69"/>
      <c r="F167" s="69"/>
      <c r="G167" s="172"/>
      <c r="H167" s="172"/>
      <c r="I167" s="69"/>
      <c r="J167" s="5"/>
      <c r="K167" s="5"/>
    </row>
    <row r="168" spans="1:11" ht="21" customHeight="1">
      <c r="A168" s="5" t="s">
        <v>74</v>
      </c>
      <c r="B168" s="5"/>
      <c r="C168" s="27">
        <f>C135</f>
        <v>1749000</v>
      </c>
      <c r="D168" s="69"/>
      <c r="E168" s="69"/>
      <c r="F168" s="69"/>
      <c r="G168" s="172"/>
      <c r="H168" s="172"/>
      <c r="I168" s="69"/>
      <c r="J168" s="5"/>
      <c r="K168" s="5"/>
    </row>
    <row r="169" spans="1:11" ht="21" customHeight="1">
      <c r="A169" s="5" t="s">
        <v>75</v>
      </c>
      <c r="B169" s="5"/>
      <c r="C169" s="68">
        <f t="shared" ref="C169:H169" si="30">-C118/C75</f>
        <v>0.79650374598644313</v>
      </c>
      <c r="D169" s="68">
        <f t="shared" si="30"/>
        <v>1.1104744564635323</v>
      </c>
      <c r="E169" s="69">
        <f t="shared" si="30"/>
        <v>1.1000000000000001</v>
      </c>
      <c r="F169" s="69">
        <f t="shared" si="30"/>
        <v>0.85</v>
      </c>
      <c r="G169" s="172">
        <f t="shared" si="30"/>
        <v>0.55000000000000004</v>
      </c>
      <c r="H169" s="172">
        <f t="shared" si="30"/>
        <v>0.4</v>
      </c>
      <c r="I169" s="69"/>
      <c r="J169" s="5"/>
      <c r="K169" s="5"/>
    </row>
    <row r="170" spans="1:11" ht="21" customHeight="1">
      <c r="A170" s="5"/>
      <c r="B170" s="5"/>
      <c r="C170" s="68"/>
      <c r="D170" s="68"/>
      <c r="E170" s="69"/>
      <c r="F170" s="69"/>
      <c r="G170" s="172"/>
      <c r="H170" s="172"/>
      <c r="I170" s="69"/>
      <c r="J170" s="5"/>
      <c r="K170" s="5"/>
    </row>
    <row r="171" spans="1:11" ht="21" customHeight="1">
      <c r="A171" s="12"/>
      <c r="B171" s="5"/>
      <c r="C171" s="68"/>
      <c r="D171" s="68"/>
      <c r="E171" s="69"/>
      <c r="F171" s="69"/>
      <c r="G171" s="172"/>
      <c r="H171" s="172"/>
      <c r="I171" s="69"/>
      <c r="J171" s="5"/>
      <c r="K171" s="5"/>
    </row>
    <row r="172" spans="1:11" ht="21" customHeight="1">
      <c r="A172" s="5"/>
      <c r="B172" s="5"/>
      <c r="C172" s="67"/>
      <c r="D172" s="68"/>
      <c r="E172" s="69"/>
      <c r="F172" s="69"/>
      <c r="G172" s="172"/>
      <c r="H172" s="172"/>
      <c r="I172" s="69"/>
      <c r="J172" s="5"/>
      <c r="K172" s="5"/>
    </row>
    <row r="173" spans="1:11" ht="21" customHeight="1">
      <c r="A173" s="5"/>
      <c r="B173" s="5"/>
      <c r="C173" s="68"/>
      <c r="D173" s="68"/>
      <c r="E173" s="69"/>
      <c r="F173" s="69"/>
      <c r="G173" s="172"/>
      <c r="H173" s="172"/>
      <c r="I173" s="69"/>
      <c r="J173" s="5"/>
      <c r="K173" s="5"/>
    </row>
    <row r="174" spans="1:11" ht="21" customHeight="1">
      <c r="A174" s="8"/>
      <c r="B174" s="8"/>
      <c r="C174" s="8"/>
      <c r="D174" s="8"/>
      <c r="E174" s="8"/>
      <c r="F174" s="8"/>
      <c r="G174" s="8"/>
      <c r="H174" s="8"/>
      <c r="I174" s="5"/>
      <c r="J174" s="5"/>
      <c r="K174" s="5"/>
    </row>
    <row r="175" spans="1:11" ht="21" customHeight="1">
      <c r="A175" s="154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ht="21" customHeight="1">
      <c r="A176" s="149" t="s">
        <v>76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ht="21" customHeight="1">
      <c r="A177" s="9" t="s">
        <v>77</v>
      </c>
      <c r="B177" s="5"/>
      <c r="C177" s="5"/>
      <c r="D177" s="11"/>
      <c r="E177" s="11"/>
      <c r="F177" s="71"/>
      <c r="G177" s="11"/>
      <c r="H177" s="11"/>
      <c r="I177" s="5"/>
      <c r="J177" s="5"/>
      <c r="K177" s="5"/>
    </row>
    <row r="178" spans="1:11" ht="21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ht="21" customHeight="1">
      <c r="A179" s="108" t="s">
        <v>78</v>
      </c>
      <c r="B179" s="106"/>
      <c r="C179" s="128">
        <f>$C$12</f>
        <v>110</v>
      </c>
      <c r="D179" s="128">
        <v>120</v>
      </c>
      <c r="E179" s="161">
        <f>$C$13</f>
        <v>125</v>
      </c>
      <c r="F179" s="128">
        <f>$C$14</f>
        <v>140</v>
      </c>
      <c r="G179" s="128"/>
      <c r="H179" s="5"/>
      <c r="I179" s="5"/>
      <c r="J179" s="5"/>
      <c r="K179" s="5"/>
    </row>
    <row r="180" spans="1:11" ht="21" customHeight="1">
      <c r="A180" s="110" t="s">
        <v>79</v>
      </c>
      <c r="B180" s="111">
        <f>C24</f>
        <v>13320310769</v>
      </c>
      <c r="C180" s="131">
        <f t="shared" ref="C180:F180" si="31">$B180*C$179/1000000</f>
        <v>1465234.18459</v>
      </c>
      <c r="D180" s="131">
        <f t="shared" si="31"/>
        <v>1598437.2922799999</v>
      </c>
      <c r="E180" s="132">
        <f t="shared" si="31"/>
        <v>1665038.8461249999</v>
      </c>
      <c r="F180" s="133">
        <f t="shared" si="31"/>
        <v>1864843.5076599999</v>
      </c>
      <c r="G180" s="131"/>
      <c r="H180" s="5"/>
      <c r="I180" s="5"/>
      <c r="J180" s="5"/>
      <c r="K180" s="5"/>
    </row>
    <row r="181" spans="1:11" ht="21" customHeight="1">
      <c r="A181" s="110" t="s">
        <v>80</v>
      </c>
      <c r="B181" s="111">
        <f>C25</f>
        <v>13440310769</v>
      </c>
      <c r="C181" s="112">
        <f t="shared" ref="C181:F181" si="32">$B181*C$179/1000000</f>
        <v>1478434.18459</v>
      </c>
      <c r="D181" s="112">
        <f t="shared" si="32"/>
        <v>1612837.2922799999</v>
      </c>
      <c r="E181" s="129">
        <f t="shared" si="32"/>
        <v>1680038.8461249999</v>
      </c>
      <c r="F181" s="113">
        <f t="shared" si="32"/>
        <v>1881643.5076599999</v>
      </c>
      <c r="G181" s="112"/>
      <c r="H181" s="5"/>
      <c r="I181" s="5"/>
      <c r="J181" s="5"/>
      <c r="K181" s="5"/>
    </row>
    <row r="182" spans="1:11" ht="21" customHeight="1">
      <c r="A182" s="110" t="s">
        <v>81</v>
      </c>
      <c r="B182" s="111">
        <f>Share_Count!C25</f>
        <v>15477410769</v>
      </c>
      <c r="C182" s="112">
        <f t="shared" ref="C182:F182" si="33">$B182*C$179/1000000</f>
        <v>1702515.18459</v>
      </c>
      <c r="D182" s="112">
        <f t="shared" si="33"/>
        <v>1857289.2922799999</v>
      </c>
      <c r="E182" s="129">
        <f t="shared" si="33"/>
        <v>1934676.3461249999</v>
      </c>
      <c r="F182" s="113">
        <f t="shared" si="33"/>
        <v>2166837.5076600001</v>
      </c>
      <c r="G182" s="112"/>
      <c r="H182" s="5"/>
      <c r="I182" s="5"/>
      <c r="J182" s="5"/>
      <c r="K182" s="5"/>
    </row>
    <row r="183" spans="1:11" ht="21" customHeight="1" thickBot="1">
      <c r="A183" s="114" t="s">
        <v>82</v>
      </c>
      <c r="B183" s="115">
        <f>C32</f>
        <v>14765110769</v>
      </c>
      <c r="C183" s="116">
        <f t="shared" ref="C183:F183" si="34">$B183*C$179/1000000</f>
        <v>1624162.18459</v>
      </c>
      <c r="D183" s="116">
        <f t="shared" si="34"/>
        <v>1771813.2922799999</v>
      </c>
      <c r="E183" s="130">
        <f t="shared" si="34"/>
        <v>1845638.8461249999</v>
      </c>
      <c r="F183" s="117">
        <f t="shared" si="34"/>
        <v>2067115.5076599999</v>
      </c>
      <c r="G183" s="116"/>
      <c r="H183" s="5"/>
      <c r="I183" s="5"/>
      <c r="J183" s="5"/>
      <c r="K183" s="5"/>
    </row>
    <row r="184" spans="1:11" ht="21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ht="21" customHeight="1">
      <c r="A185" s="154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21" customHeight="1">
      <c r="A186" s="108" t="s">
        <v>83</v>
      </c>
      <c r="B186" s="118" t="s">
        <v>84</v>
      </c>
      <c r="C186" s="109"/>
      <c r="D186" s="109"/>
      <c r="E186" s="109"/>
      <c r="F186" s="109"/>
      <c r="G186" s="109"/>
      <c r="H186" s="5"/>
      <c r="I186" s="5"/>
      <c r="J186" s="5"/>
      <c r="K186" s="5"/>
    </row>
    <row r="187" spans="1:11" ht="21" customHeight="1">
      <c r="A187" s="119" t="s">
        <v>514</v>
      </c>
      <c r="B187" s="106"/>
      <c r="C187" s="106"/>
      <c r="D187" s="106"/>
      <c r="E187" s="106"/>
      <c r="F187" s="120"/>
      <c r="G187" s="106"/>
      <c r="H187" s="5"/>
      <c r="I187" s="5"/>
      <c r="J187" s="5"/>
      <c r="K187" s="5"/>
    </row>
    <row r="188" spans="1:11" ht="21" customHeight="1">
      <c r="A188" s="106" t="s">
        <v>510</v>
      </c>
      <c r="B188" s="121">
        <f>-Annual_Financials!D34/1000</f>
        <v>-24747</v>
      </c>
      <c r="C188" s="106"/>
      <c r="D188" s="106"/>
      <c r="E188" s="106"/>
      <c r="F188" s="120"/>
      <c r="G188" s="106"/>
      <c r="H188" s="5"/>
      <c r="I188" s="5"/>
      <c r="J188" s="5"/>
      <c r="K188" s="5"/>
    </row>
    <row r="189" spans="1:11" ht="21" customHeight="1">
      <c r="A189" s="106" t="s">
        <v>511</v>
      </c>
      <c r="B189" s="121">
        <f>-Annual_Financials!D35/1000</f>
        <v>0</v>
      </c>
      <c r="C189" s="106"/>
      <c r="D189" s="106"/>
      <c r="E189" s="106"/>
      <c r="F189" s="120"/>
      <c r="G189" s="106"/>
      <c r="H189" s="5"/>
      <c r="I189" s="5"/>
      <c r="J189" s="5"/>
      <c r="K189" s="5"/>
    </row>
    <row r="190" spans="1:11" ht="21" customHeight="1">
      <c r="A190" s="106" t="s">
        <v>512</v>
      </c>
      <c r="B190" s="121">
        <f>-Annual_Financials!D36/1000</f>
        <v>-1637</v>
      </c>
      <c r="C190" s="106"/>
      <c r="D190" s="106"/>
      <c r="E190" s="106"/>
      <c r="F190" s="120"/>
      <c r="G190" s="106"/>
      <c r="H190" s="5"/>
      <c r="I190" s="5"/>
      <c r="J190" s="5"/>
      <c r="K190" s="5"/>
    </row>
    <row r="191" spans="1:11" ht="21" customHeight="1">
      <c r="A191" s="106" t="s">
        <v>515</v>
      </c>
      <c r="B191" s="160">
        <f>-C7*C13*(1-COMPANY_INFO!C24)/1000000</f>
        <v>-93000</v>
      </c>
      <c r="C191" s="106"/>
      <c r="D191" s="106"/>
      <c r="E191" s="106"/>
      <c r="F191" s="106"/>
      <c r="G191" s="106"/>
      <c r="H191" s="5"/>
      <c r="I191" s="5"/>
      <c r="J191" s="5"/>
      <c r="K191" s="5"/>
    </row>
    <row r="192" spans="1:11" ht="21" customHeight="1">
      <c r="A192" s="106" t="s">
        <v>508</v>
      </c>
      <c r="B192" s="159">
        <f>(Annual_Financials!D50+Annual_Financials!D54)/1000</f>
        <v>22896</v>
      </c>
      <c r="C192" s="106"/>
      <c r="D192" s="106"/>
      <c r="E192" s="106"/>
      <c r="F192" s="106"/>
      <c r="G192" s="106"/>
      <c r="H192" s="5"/>
      <c r="I192" s="5"/>
      <c r="J192" s="5"/>
      <c r="K192" s="5"/>
    </row>
    <row r="193" spans="1:11" ht="21" customHeight="1">
      <c r="A193" s="106" t="s">
        <v>516</v>
      </c>
      <c r="B193" s="106">
        <f>SUM(B188:B192)</f>
        <v>-96488</v>
      </c>
      <c r="C193" s="106"/>
      <c r="D193" s="106"/>
      <c r="E193" s="106"/>
      <c r="F193" s="106"/>
      <c r="G193" s="106"/>
      <c r="H193" s="5"/>
      <c r="I193" s="5"/>
      <c r="J193" s="5"/>
      <c r="K193" s="5"/>
    </row>
    <row r="194" spans="1:11" ht="21" customHeight="1">
      <c r="A194" s="106" t="s">
        <v>85</v>
      </c>
      <c r="B194" s="106"/>
      <c r="C194" s="112">
        <f t="shared" ref="C194:F197" si="35">C180+$B$193</f>
        <v>1368746.18459</v>
      </c>
      <c r="D194" s="112">
        <f t="shared" si="35"/>
        <v>1501949.2922799999</v>
      </c>
      <c r="E194" s="112">
        <f t="shared" si="35"/>
        <v>1568550.8461249999</v>
      </c>
      <c r="F194" s="113">
        <f t="shared" si="35"/>
        <v>1768355.5076599999</v>
      </c>
      <c r="G194" s="112"/>
      <c r="H194" s="5"/>
      <c r="I194" s="5"/>
      <c r="J194" s="5"/>
      <c r="K194" s="5"/>
    </row>
    <row r="195" spans="1:11" ht="21" customHeight="1">
      <c r="A195" s="106" t="s">
        <v>86</v>
      </c>
      <c r="B195" s="106"/>
      <c r="C195" s="112">
        <f t="shared" si="35"/>
        <v>1381946.18459</v>
      </c>
      <c r="D195" s="112">
        <f t="shared" si="35"/>
        <v>1516349.2922799999</v>
      </c>
      <c r="E195" s="112">
        <f t="shared" si="35"/>
        <v>1583550.8461249999</v>
      </c>
      <c r="F195" s="113">
        <f t="shared" si="35"/>
        <v>1785155.5076599999</v>
      </c>
      <c r="G195" s="112"/>
      <c r="H195" s="5"/>
      <c r="I195" s="5"/>
      <c r="J195" s="5"/>
      <c r="K195" s="5"/>
    </row>
    <row r="196" spans="1:11" ht="21" customHeight="1">
      <c r="A196" s="106" t="s">
        <v>87</v>
      </c>
      <c r="B196" s="106"/>
      <c r="C196" s="158">
        <f t="shared" si="35"/>
        <v>1606027.18459</v>
      </c>
      <c r="D196" s="112">
        <f t="shared" si="35"/>
        <v>1760801.2922799999</v>
      </c>
      <c r="E196" s="112">
        <f t="shared" si="35"/>
        <v>1838188.3461249999</v>
      </c>
      <c r="F196" s="113">
        <f t="shared" si="35"/>
        <v>2070349.5076600001</v>
      </c>
      <c r="G196" s="158"/>
      <c r="H196" s="5"/>
      <c r="I196" s="5"/>
      <c r="J196" s="5"/>
      <c r="K196" s="5"/>
    </row>
    <row r="197" spans="1:11" ht="21" customHeight="1">
      <c r="A197" s="114" t="s">
        <v>82</v>
      </c>
      <c r="B197" s="106"/>
      <c r="C197" s="159">
        <f t="shared" si="35"/>
        <v>1527674.18459</v>
      </c>
      <c r="D197" s="116">
        <f t="shared" si="35"/>
        <v>1675325.2922799999</v>
      </c>
      <c r="E197" s="116">
        <f t="shared" si="35"/>
        <v>1749150.8461249999</v>
      </c>
      <c r="F197" s="117">
        <f t="shared" si="35"/>
        <v>1970627.5076599999</v>
      </c>
      <c r="G197" s="159"/>
      <c r="H197" s="5"/>
      <c r="I197" s="5"/>
      <c r="J197" s="5"/>
      <c r="K197" s="5"/>
    </row>
    <row r="198" spans="1:11" ht="2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ht="2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21" customHeight="1">
      <c r="A200" s="108" t="str">
        <f>"EV / " &amp; COMPANY_INFO!C14 &amp; " Revenue (fully diluted)"</f>
        <v>EV / FY 2026E Revenue (fully diluted)</v>
      </c>
      <c r="B200" s="106"/>
      <c r="C200" s="109"/>
      <c r="D200" s="109"/>
      <c r="E200" s="109"/>
      <c r="F200" s="109"/>
      <c r="G200" s="109"/>
      <c r="H200" s="5"/>
      <c r="I200" s="5"/>
      <c r="J200" s="5"/>
      <c r="K200" s="5"/>
    </row>
    <row r="201" spans="1:11" ht="21" customHeight="1">
      <c r="A201" s="119" t="str">
        <f>"  " &amp; COMPANY_INFO!C14 &amp; " Revenue ($M)"</f>
        <v xml:space="preserve">  FY 2026E Revenue ($M)</v>
      </c>
      <c r="B201" s="158">
        <f>E75/1000</f>
        <v>35410.25</v>
      </c>
      <c r="C201" s="106"/>
      <c r="D201" s="106"/>
      <c r="E201" s="106"/>
      <c r="F201" s="120"/>
      <c r="G201" s="106"/>
      <c r="H201" s="5"/>
      <c r="I201" s="5"/>
      <c r="J201" s="5"/>
      <c r="K201" s="5"/>
    </row>
    <row r="202" spans="1:11" ht="21" customHeight="1">
      <c r="A202" s="106" t="s">
        <v>85</v>
      </c>
      <c r="B202" s="106"/>
      <c r="C202" s="122">
        <f t="shared" ref="C202:F202" si="36">C194/$B$201</f>
        <v>38.65395428131685</v>
      </c>
      <c r="D202" s="122">
        <f t="shared" si="36"/>
        <v>42.415664737752486</v>
      </c>
      <c r="E202" s="122">
        <f t="shared" si="36"/>
        <v>44.296519965970305</v>
      </c>
      <c r="F202" s="123">
        <f t="shared" si="36"/>
        <v>49.93908565062376</v>
      </c>
      <c r="G202" s="122"/>
      <c r="H202" s="5"/>
      <c r="I202" s="5"/>
      <c r="J202" s="5"/>
      <c r="K202" s="5"/>
    </row>
    <row r="203" spans="1:11" ht="21" customHeight="1">
      <c r="A203" s="114" t="s">
        <v>82</v>
      </c>
      <c r="B203" s="106"/>
      <c r="C203" s="124">
        <f t="shared" ref="C203:F203" si="37">C197/$B$201</f>
        <v>43.142146259628213</v>
      </c>
      <c r="D203" s="124">
        <f t="shared" si="37"/>
        <v>47.311874168637608</v>
      </c>
      <c r="E203" s="124">
        <f t="shared" si="37"/>
        <v>49.396738123142306</v>
      </c>
      <c r="F203" s="124">
        <f t="shared" si="37"/>
        <v>55.6513299866564</v>
      </c>
      <c r="G203" s="124"/>
      <c r="H203" s="5"/>
      <c r="I203" s="5"/>
      <c r="J203" s="5"/>
      <c r="K203" s="5"/>
    </row>
    <row r="204" spans="1:11" ht="21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ht="21" customHeight="1">
      <c r="A205" s="108" t="str">
        <f>"EV / " &amp; COMPANY_INFO!C14 &amp; " Adj. EBITDA (fully diluted)"</f>
        <v>EV / FY 2026E Adj. EBITDA (fully diluted)</v>
      </c>
      <c r="B205" s="154"/>
      <c r="C205" s="109"/>
      <c r="D205" s="109"/>
      <c r="E205" s="109"/>
      <c r="F205" s="109"/>
      <c r="G205" s="109"/>
      <c r="H205" s="5"/>
      <c r="I205" s="5"/>
      <c r="J205" s="5"/>
      <c r="K205" s="5"/>
    </row>
    <row r="206" spans="1:11" ht="21" customHeight="1">
      <c r="A206" s="119" t="str">
        <f>"  " &amp; COMPANY_INFO!C14 &amp; " Adj. EBITDA ($M)"</f>
        <v xml:space="preserve">  FY 2026E Adj. EBITDA ($M)</v>
      </c>
      <c r="B206" s="158">
        <f>E88/1000</f>
        <v>14512.067499999999</v>
      </c>
      <c r="C206" s="106"/>
      <c r="D206" s="106"/>
      <c r="E206" s="106"/>
      <c r="F206" s="120"/>
      <c r="G206" s="106"/>
      <c r="H206" s="5"/>
      <c r="I206" s="5"/>
      <c r="J206" s="5"/>
      <c r="K206" s="5"/>
    </row>
    <row r="207" spans="1:11" ht="21" customHeight="1">
      <c r="A207" s="106" t="s">
        <v>85</v>
      </c>
      <c r="B207" s="106"/>
      <c r="C207" s="122">
        <f t="shared" ref="C207:F207" si="38">C194/$B$206</f>
        <v>94.317793421922829</v>
      </c>
      <c r="D207" s="122">
        <f t="shared" si="38"/>
        <v>103.49657567951638</v>
      </c>
      <c r="E207" s="122">
        <f t="shared" si="38"/>
        <v>108.08596680831315</v>
      </c>
      <c r="F207" s="123">
        <f t="shared" si="38"/>
        <v>121.85414019470348</v>
      </c>
      <c r="G207" s="122"/>
      <c r="H207" s="5"/>
      <c r="I207" s="5"/>
      <c r="J207" s="5"/>
      <c r="K207" s="5"/>
    </row>
    <row r="208" spans="1:11" ht="21" customHeight="1">
      <c r="A208" s="114" t="s">
        <v>82</v>
      </c>
      <c r="B208" s="106"/>
      <c r="C208" s="124">
        <f t="shared" ref="C208:F208" si="39">C197/$B$206</f>
        <v>105.26923090662306</v>
      </c>
      <c r="D208" s="124">
        <f t="shared" si="39"/>
        <v>115.44359839009844</v>
      </c>
      <c r="E208" s="124">
        <f t="shared" si="39"/>
        <v>120.53078213183615</v>
      </c>
      <c r="F208" s="124">
        <f t="shared" si="39"/>
        <v>135.79233335704922</v>
      </c>
      <c r="G208" s="124"/>
      <c r="H208" s="5"/>
      <c r="I208" s="5"/>
      <c r="J208" s="5"/>
      <c r="K208" s="5"/>
    </row>
    <row r="209" spans="1:11" ht="2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ht="21" customHeight="1">
      <c r="A210" s="108" t="s">
        <v>88</v>
      </c>
      <c r="B210" s="106"/>
      <c r="C210" s="109"/>
      <c r="D210" s="109"/>
      <c r="E210" s="109"/>
      <c r="F210" s="109"/>
      <c r="G210" s="109"/>
      <c r="H210" s="5"/>
      <c r="I210" s="5"/>
      <c r="J210" s="5"/>
      <c r="K210" s="5"/>
    </row>
    <row r="211" spans="1:11" ht="21" customHeight="1">
      <c r="A211" s="106" t="s">
        <v>85</v>
      </c>
      <c r="B211" s="106"/>
      <c r="C211" s="122">
        <f t="shared" ref="C211:F211" si="40">C180/$B$201</f>
        <v>41.378815020792004</v>
      </c>
      <c r="D211" s="122">
        <f t="shared" si="40"/>
        <v>45.140525477227634</v>
      </c>
      <c r="E211" s="122">
        <f t="shared" si="40"/>
        <v>47.021380705445452</v>
      </c>
      <c r="F211" s="122">
        <f t="shared" si="40"/>
        <v>52.663946390098907</v>
      </c>
      <c r="G211" s="122"/>
      <c r="H211" s="5"/>
      <c r="I211" s="5"/>
      <c r="J211" s="5"/>
      <c r="K211" s="5"/>
    </row>
    <row r="212" spans="1:11" ht="21" customHeight="1">
      <c r="A212" s="125" t="s">
        <v>82</v>
      </c>
      <c r="B212" s="126"/>
      <c r="C212" s="127">
        <f t="shared" ref="C212:F212" si="41">C183/$B$201</f>
        <v>45.867006999103367</v>
      </c>
      <c r="D212" s="127">
        <f t="shared" si="41"/>
        <v>50.036734908112763</v>
      </c>
      <c r="E212" s="127">
        <f t="shared" si="41"/>
        <v>52.121598862617461</v>
      </c>
      <c r="F212" s="127">
        <f t="shared" si="41"/>
        <v>58.376190726131554</v>
      </c>
      <c r="G212" s="127"/>
      <c r="H212" s="8"/>
      <c r="I212" s="5"/>
      <c r="J212" s="5"/>
      <c r="K212" s="5"/>
    </row>
    <row r="213" spans="1:11" ht="21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ht="21" customHeight="1">
      <c r="A214" s="164" t="s">
        <v>89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ht="21" customHeight="1">
      <c r="A215" s="152" t="s">
        <v>90</v>
      </c>
      <c r="B215" s="5"/>
      <c r="C215" s="5"/>
      <c r="D215" s="11"/>
      <c r="E215" s="11"/>
      <c r="F215" s="11"/>
      <c r="G215" s="11"/>
      <c r="H215" s="11"/>
      <c r="I215" s="5"/>
      <c r="J215" s="5"/>
      <c r="K215" s="5"/>
    </row>
    <row r="216" spans="1:11" ht="21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ht="21" customHeight="1">
      <c r="A217" s="5"/>
      <c r="B217" s="5"/>
      <c r="C217" s="5"/>
      <c r="D217" s="72" t="str">
        <f>COMPANY_INFO!C12</f>
        <v>FY 2025</v>
      </c>
      <c r="E217" s="72" t="str">
        <f>COMPANY_INFO!C14</f>
        <v>FY 2026E</v>
      </c>
      <c r="F217" s="72" t="str">
        <f>COMPANY_INFO!C15</f>
        <v>FY 2027E</v>
      </c>
      <c r="G217" s="174" t="str">
        <f>COMPANY_INFO!C16</f>
        <v>FY 2028E</v>
      </c>
      <c r="H217" s="174" t="str">
        <f>COMPANY_INFO!C17</f>
        <v>FY 2029E</v>
      </c>
      <c r="I217" s="5"/>
      <c r="J217" s="5"/>
      <c r="K217" s="5"/>
    </row>
    <row r="218" spans="1:11" ht="21" customHeight="1">
      <c r="A218" s="5"/>
      <c r="B218" s="5"/>
      <c r="C218" s="5"/>
      <c r="D218" s="5"/>
      <c r="E218" s="5"/>
      <c r="F218" s="5"/>
      <c r="G218" s="171"/>
      <c r="H218" s="171"/>
      <c r="I218" s="5"/>
      <c r="J218" s="5"/>
      <c r="K218" s="5"/>
    </row>
    <row r="219" spans="1:11" ht="21" customHeight="1">
      <c r="A219" s="13" t="s">
        <v>91</v>
      </c>
      <c r="B219" s="5"/>
      <c r="C219" s="5"/>
      <c r="D219" s="5"/>
      <c r="E219" s="5"/>
      <c r="F219" s="5"/>
      <c r="G219" s="171"/>
      <c r="H219" s="171"/>
      <c r="I219" s="5"/>
      <c r="J219" s="5"/>
      <c r="K219" s="5"/>
    </row>
    <row r="220" spans="1:11" ht="21" customHeight="1">
      <c r="A220" s="5" t="s">
        <v>92</v>
      </c>
      <c r="B220" s="5"/>
      <c r="C220" s="5"/>
      <c r="D220" s="29">
        <f>D75/1000</f>
        <v>18674</v>
      </c>
      <c r="E220" s="29">
        <f>E75/1000</f>
        <v>35410.25</v>
      </c>
      <c r="F220" s="29">
        <f>F75/1000</f>
        <v>47730.474999999999</v>
      </c>
      <c r="G220" s="175">
        <f>G75/1000</f>
        <v>63373.970200000003</v>
      </c>
      <c r="H220" s="175">
        <f>H75/1000</f>
        <v>80273.729390000008</v>
      </c>
      <c r="I220" s="5"/>
      <c r="J220" s="5"/>
      <c r="K220" s="5"/>
    </row>
    <row r="221" spans="1:11" ht="21" customHeight="1">
      <c r="A221" s="5" t="s">
        <v>679</v>
      </c>
      <c r="B221" s="5"/>
      <c r="C221" s="5"/>
      <c r="D221" s="29">
        <f>D103/1000</f>
        <v>-2589</v>
      </c>
      <c r="E221" s="29">
        <f>E103/1000</f>
        <v>-1068.4425000000001</v>
      </c>
      <c r="F221" s="29">
        <f>F103/1000</f>
        <v>4490.8907499999996</v>
      </c>
      <c r="G221" s="175">
        <f>G103/1000</f>
        <v>9977.6086939999968</v>
      </c>
      <c r="H221" s="175">
        <f>H103/1000</f>
        <v>10574.673068599999</v>
      </c>
      <c r="I221" s="5"/>
      <c r="J221" s="5"/>
      <c r="K221" s="5"/>
    </row>
    <row r="222" spans="1:11" ht="21" customHeight="1">
      <c r="A222" s="5" t="s">
        <v>93</v>
      </c>
      <c r="B222" s="5"/>
      <c r="C222" s="5"/>
      <c r="D222" s="29">
        <f>(D103+D100+Annual_Financials!D13+Annual_Financials!D14)/1000</f>
        <v>5277</v>
      </c>
      <c r="E222" s="29">
        <f>E97/1000</f>
        <v>10971.0425</v>
      </c>
      <c r="F222" s="29">
        <f>F97/1000</f>
        <v>18810.03325</v>
      </c>
      <c r="G222" s="175">
        <f>G97/1000</f>
        <v>26454.840946</v>
      </c>
      <c r="H222" s="175">
        <f>H97/1000</f>
        <v>29840.368122199998</v>
      </c>
      <c r="I222" s="5"/>
      <c r="J222" s="5"/>
      <c r="K222" s="5"/>
    </row>
    <row r="223" spans="1:11" ht="21" customHeight="1">
      <c r="A223" s="5" t="s">
        <v>94</v>
      </c>
      <c r="B223" s="5"/>
      <c r="C223" s="5"/>
      <c r="D223" s="29">
        <f>D88/1000</f>
        <v>6584</v>
      </c>
      <c r="E223" s="29">
        <f>E88/1000</f>
        <v>14512.067499999999</v>
      </c>
      <c r="F223" s="29">
        <f>F88/1000</f>
        <v>22151.166499999999</v>
      </c>
      <c r="G223" s="175">
        <f>G88/1000</f>
        <v>30891.01886</v>
      </c>
      <c r="H223" s="175">
        <f>H88/1000</f>
        <v>35459.529179500001</v>
      </c>
      <c r="I223" s="5"/>
      <c r="J223" s="5"/>
      <c r="K223" s="5"/>
    </row>
    <row r="224" spans="1:11" ht="21" customHeight="1">
      <c r="A224" s="5" t="s">
        <v>95</v>
      </c>
      <c r="B224" s="5"/>
      <c r="C224" s="5"/>
      <c r="D224" s="29">
        <f>D108/1000</f>
        <v>-4937</v>
      </c>
      <c r="E224" s="29">
        <f>E108/1000</f>
        <v>-3268.4425000000001</v>
      </c>
      <c r="F224" s="29">
        <f>F108/1000</f>
        <v>2490.89075</v>
      </c>
      <c r="G224" s="175">
        <f>G108/1000</f>
        <v>4477.6086939999968</v>
      </c>
      <c r="H224" s="175">
        <f>H108/1000</f>
        <v>5074.6730685999992</v>
      </c>
      <c r="I224" s="5"/>
      <c r="J224" s="5"/>
      <c r="K224" s="5"/>
    </row>
    <row r="225" spans="1:11" ht="21" customHeight="1">
      <c r="A225" s="5" t="s">
        <v>96</v>
      </c>
      <c r="B225" s="5"/>
      <c r="C225" s="5"/>
      <c r="D225" s="73">
        <f t="shared" ref="D225:H225" si="42">D120/1000</f>
        <v>-13952</v>
      </c>
      <c r="E225" s="73">
        <f t="shared" si="42"/>
        <v>-28409.72</v>
      </c>
      <c r="F225" s="73">
        <f t="shared" si="42"/>
        <v>-22328.956249999999</v>
      </c>
      <c r="G225" s="176">
        <f t="shared" si="42"/>
        <v>-11365.883856000006</v>
      </c>
      <c r="H225" s="176">
        <f t="shared" si="42"/>
        <v>-3755.4371643000022</v>
      </c>
      <c r="I225" s="5"/>
      <c r="J225" s="5"/>
      <c r="K225" s="5"/>
    </row>
    <row r="226" spans="1:11" ht="21" customHeight="1">
      <c r="A226" s="5"/>
      <c r="B226" s="5"/>
      <c r="C226" s="5"/>
      <c r="D226" s="5"/>
      <c r="E226" s="5"/>
      <c r="F226" s="5"/>
      <c r="G226" s="171"/>
      <c r="H226" s="171"/>
      <c r="I226" s="5"/>
      <c r="J226" s="5"/>
      <c r="K226" s="5"/>
    </row>
    <row r="227" spans="1:11" ht="21" customHeight="1">
      <c r="A227" s="13" t="s">
        <v>97</v>
      </c>
      <c r="B227" s="5"/>
      <c r="C227" s="5"/>
      <c r="E227" s="5"/>
      <c r="F227" s="5"/>
      <c r="G227" s="171"/>
      <c r="H227" s="171"/>
      <c r="I227" s="5"/>
      <c r="J227" s="5"/>
      <c r="K227" s="5"/>
    </row>
    <row r="228" spans="1:11" ht="21" customHeight="1">
      <c r="A228" s="5" t="s">
        <v>98</v>
      </c>
      <c r="B228" s="5"/>
      <c r="C228" s="5"/>
      <c r="D228" s="27">
        <f>E43/1000000</f>
        <v>1583550.8461249999</v>
      </c>
      <c r="E228" s="27">
        <f t="shared" ref="E228:E229" si="43">D228</f>
        <v>1583550.8461249999</v>
      </c>
      <c r="F228" s="27">
        <f t="shared" ref="F228:F229" si="44">D228</f>
        <v>1583550.8461249999</v>
      </c>
      <c r="G228" s="175">
        <f t="shared" ref="G228:G229" si="45">D228</f>
        <v>1583550.8461249999</v>
      </c>
      <c r="H228" s="175">
        <f t="shared" ref="H228:H229" si="46">D228</f>
        <v>1583550.8461249999</v>
      </c>
      <c r="I228" s="5"/>
      <c r="J228" s="5"/>
      <c r="K228" s="5"/>
    </row>
    <row r="229" spans="1:11" ht="21" customHeight="1">
      <c r="A229" s="5" t="s">
        <v>99</v>
      </c>
      <c r="B229" s="5"/>
      <c r="C229" s="5"/>
      <c r="D229" s="74">
        <f>F43/1000000</f>
        <v>1749150.8461249999</v>
      </c>
      <c r="E229" s="75">
        <f t="shared" si="43"/>
        <v>1749150.8461249999</v>
      </c>
      <c r="F229" s="75">
        <f t="shared" si="44"/>
        <v>1749150.8461249999</v>
      </c>
      <c r="G229" s="176">
        <f t="shared" si="45"/>
        <v>1749150.8461249999</v>
      </c>
      <c r="H229" s="176">
        <f t="shared" si="46"/>
        <v>1749150.8461249999</v>
      </c>
      <c r="I229" s="5"/>
      <c r="J229" s="5"/>
      <c r="K229" s="5"/>
    </row>
    <row r="230" spans="1:11" ht="21" customHeight="1">
      <c r="A230" s="5"/>
      <c r="B230" s="5"/>
      <c r="C230" s="5"/>
      <c r="D230" s="5"/>
      <c r="E230" s="5"/>
      <c r="F230" s="5"/>
      <c r="G230" s="171"/>
      <c r="H230" s="171"/>
      <c r="I230" s="5"/>
      <c r="J230" s="5"/>
      <c r="K230" s="5"/>
    </row>
    <row r="231" spans="1:11" ht="21" customHeight="1">
      <c r="A231" s="12" t="s">
        <v>100</v>
      </c>
      <c r="B231" s="5"/>
      <c r="C231" s="5"/>
      <c r="D231" s="5"/>
      <c r="E231" s="5"/>
      <c r="F231" s="5"/>
      <c r="G231" s="171"/>
      <c r="H231" s="171"/>
      <c r="I231" s="5"/>
      <c r="J231" s="5"/>
      <c r="K231" s="5"/>
    </row>
    <row r="232" spans="1:11" ht="21" customHeight="1">
      <c r="A232" s="5" t="s">
        <v>101</v>
      </c>
      <c r="B232" s="5"/>
      <c r="C232" s="5"/>
      <c r="D232" s="32">
        <f t="shared" ref="D232:G232" si="47">D228/D220</f>
        <v>84.799766848291739</v>
      </c>
      <c r="E232" s="32">
        <f t="shared" si="47"/>
        <v>44.720126125203855</v>
      </c>
      <c r="F232" s="32">
        <f t="shared" si="47"/>
        <v>33.176934571151868</v>
      </c>
      <c r="G232" s="177">
        <f t="shared" si="47"/>
        <v>24.987401627632284</v>
      </c>
      <c r="H232" s="178">
        <f>H228/H220</f>
        <v>19.726887714802853</v>
      </c>
      <c r="I232" s="5"/>
      <c r="J232" s="5"/>
      <c r="K232" s="5"/>
    </row>
    <row r="233" spans="1:11" ht="21" customHeight="1">
      <c r="A233" s="5" t="s">
        <v>99</v>
      </c>
      <c r="B233" s="5"/>
      <c r="C233" s="5"/>
      <c r="D233" s="76">
        <f t="shared" ref="D233:G233" si="48">D229/D220</f>
        <v>93.667711584288313</v>
      </c>
      <c r="E233" s="76">
        <f t="shared" si="48"/>
        <v>49.396738123142306</v>
      </c>
      <c r="F233" s="76">
        <f t="shared" si="48"/>
        <v>36.646416071178841</v>
      </c>
      <c r="G233" s="179">
        <f t="shared" si="48"/>
        <v>27.600461839536131</v>
      </c>
      <c r="H233" s="180">
        <f>H229/H220</f>
        <v>21.789829118651838</v>
      </c>
      <c r="I233" s="5"/>
      <c r="J233" s="5"/>
      <c r="K233" s="5"/>
    </row>
    <row r="234" spans="1:11" ht="21" customHeight="1">
      <c r="A234" s="5"/>
      <c r="B234" s="5"/>
      <c r="C234" s="5"/>
      <c r="D234" s="5"/>
      <c r="E234" s="5"/>
      <c r="F234" s="5"/>
      <c r="G234" s="171"/>
      <c r="H234" s="171"/>
      <c r="I234" s="5"/>
      <c r="J234" s="5"/>
      <c r="K234" s="5"/>
    </row>
    <row r="235" spans="1:11" ht="21" customHeight="1">
      <c r="A235" s="12" t="s">
        <v>680</v>
      </c>
      <c r="B235" s="5"/>
      <c r="C235" s="5"/>
      <c r="D235" s="5"/>
      <c r="E235" s="5"/>
      <c r="F235" s="5"/>
      <c r="G235" s="171"/>
      <c r="H235" s="171"/>
      <c r="I235" s="5"/>
      <c r="J235" s="5"/>
      <c r="K235" s="5"/>
    </row>
    <row r="236" spans="1:11" ht="21" customHeight="1">
      <c r="A236" s="5" t="s">
        <v>101</v>
      </c>
      <c r="B236" s="5"/>
      <c r="C236" s="5"/>
      <c r="D236" s="32" t="str">
        <f>IF(D221&gt;0,D228/D221,"N/M")</f>
        <v>N/M</v>
      </c>
      <c r="E236" s="32" t="str">
        <f>IF(E221&gt;0,E228/E221,"N/M")</f>
        <v>N/M</v>
      </c>
      <c r="F236" s="32">
        <f>IF(F221&gt;0,F228/F221,"N/M")</f>
        <v>352.61397666487437</v>
      </c>
      <c r="G236" s="177">
        <f>IF(G221&gt;0,G228/G221,"N/M")</f>
        <v>158.71045805567252</v>
      </c>
      <c r="H236" s="177">
        <f>IF(H221&gt;0,H228/H221,"N/M")</f>
        <v>149.74939043998731</v>
      </c>
      <c r="I236" s="5"/>
      <c r="J236" s="5"/>
      <c r="K236" s="5"/>
    </row>
    <row r="237" spans="1:11" ht="21" customHeight="1">
      <c r="A237" s="5" t="s">
        <v>99</v>
      </c>
      <c r="B237" s="5"/>
      <c r="C237" s="5"/>
      <c r="D237" s="76" t="str">
        <f>IF(D221&gt;0,D229/D221,"N/M")</f>
        <v>N/M</v>
      </c>
      <c r="E237" s="76" t="str">
        <f>IF(E221&gt;0,E229/E221,"N/M")</f>
        <v>N/M</v>
      </c>
      <c r="F237" s="76">
        <f>IF(F221&gt;0,F229/F221,"N/M")</f>
        <v>389.48862118834666</v>
      </c>
      <c r="G237" s="179">
        <f>IF(G221&gt;0,G229/G221,"N/M")</f>
        <v>175.30762127170271</v>
      </c>
      <c r="H237" s="179">
        <f>IF(H221&gt;0,H229/H221,"N/M")</f>
        <v>165.40944904659577</v>
      </c>
      <c r="I237" s="5"/>
      <c r="J237" s="5"/>
      <c r="K237" s="5"/>
    </row>
    <row r="238" spans="1:11" ht="21" customHeight="1">
      <c r="A238" s="5"/>
      <c r="B238" s="5"/>
      <c r="C238" s="5"/>
      <c r="D238" s="5"/>
      <c r="E238" s="5"/>
      <c r="F238" s="5"/>
      <c r="G238" s="171"/>
      <c r="H238" s="171"/>
      <c r="I238" s="5"/>
      <c r="J238" s="5"/>
      <c r="K238" s="5"/>
    </row>
    <row r="239" spans="1:11" ht="21" customHeight="1">
      <c r="A239" s="12" t="s">
        <v>102</v>
      </c>
      <c r="B239" s="5"/>
      <c r="C239" s="5"/>
      <c r="D239" s="5"/>
      <c r="E239" s="5"/>
      <c r="F239" s="5"/>
      <c r="G239" s="171"/>
      <c r="H239" s="171"/>
      <c r="I239" s="5"/>
      <c r="J239" s="5"/>
      <c r="K239" s="5"/>
    </row>
    <row r="240" spans="1:11" ht="21" customHeight="1">
      <c r="A240" s="5" t="s">
        <v>101</v>
      </c>
      <c r="B240" s="5"/>
      <c r="C240" s="5"/>
      <c r="D240" s="32">
        <f t="shared" ref="D240:G240" si="49">IF(D222&gt;0,D228/D222,"N/M")</f>
        <v>300.08543606689403</v>
      </c>
      <c r="E240" s="32">
        <f t="shared" si="49"/>
        <v>144.33914061722029</v>
      </c>
      <c r="F240" s="32">
        <f t="shared" si="49"/>
        <v>84.186499039016837</v>
      </c>
      <c r="G240" s="177">
        <f t="shared" si="49"/>
        <v>59.858641726758691</v>
      </c>
      <c r="H240" s="177">
        <f>IF(H222&gt;0,H228/H222,"N/M")</f>
        <v>53.067403178143223</v>
      </c>
      <c r="I240" s="5"/>
      <c r="J240" s="5"/>
      <c r="K240" s="5"/>
    </row>
    <row r="241" spans="1:11" ht="21" customHeight="1">
      <c r="A241" s="5" t="s">
        <v>99</v>
      </c>
      <c r="B241" s="5"/>
      <c r="C241" s="5"/>
      <c r="D241" s="76">
        <f t="shared" ref="D241:G241" si="50">IF(D222&gt;0,D229/D222,"N/M")</f>
        <v>331.46690280936139</v>
      </c>
      <c r="E241" s="76">
        <f t="shared" si="50"/>
        <v>159.43342176689225</v>
      </c>
      <c r="F241" s="76">
        <f t="shared" si="50"/>
        <v>92.990311227918738</v>
      </c>
      <c r="G241" s="179">
        <f t="shared" si="50"/>
        <v>66.118365621452483</v>
      </c>
      <c r="H241" s="179">
        <f>IF(H222&gt;0,H229/H222,"N/M")</f>
        <v>58.616932571408334</v>
      </c>
      <c r="I241" s="5"/>
      <c r="J241" s="5"/>
      <c r="K241" s="5"/>
    </row>
    <row r="242" spans="1:11" ht="21" customHeight="1">
      <c r="A242" s="5"/>
      <c r="B242" s="5"/>
      <c r="C242" s="5"/>
      <c r="D242" s="5"/>
      <c r="E242" s="5"/>
      <c r="F242" s="5"/>
      <c r="G242" s="171"/>
      <c r="H242" s="171"/>
      <c r="I242" s="5"/>
      <c r="J242" s="5"/>
      <c r="K242" s="5"/>
    </row>
    <row r="243" spans="1:11" ht="21" customHeight="1">
      <c r="A243" s="12" t="s">
        <v>103</v>
      </c>
      <c r="B243" s="5"/>
      <c r="C243" s="5"/>
      <c r="D243" s="5"/>
      <c r="E243" s="5"/>
      <c r="F243" s="5"/>
      <c r="G243" s="171"/>
      <c r="H243" s="171"/>
      <c r="I243" s="5"/>
      <c r="J243" s="5"/>
      <c r="K243" s="5"/>
    </row>
    <row r="244" spans="1:11" ht="21" customHeight="1">
      <c r="A244" s="5" t="s">
        <v>101</v>
      </c>
      <c r="B244" s="5"/>
      <c r="C244" s="5"/>
      <c r="D244" s="32">
        <f t="shared" ref="D244:H244" si="51">IF(D223&gt;0,D228/D223,"N/M")</f>
        <v>240.51501308095382</v>
      </c>
      <c r="E244" s="32">
        <f t="shared" si="51"/>
        <v>109.11958934348948</v>
      </c>
      <c r="F244" s="32">
        <f t="shared" si="51"/>
        <v>71.488372683443103</v>
      </c>
      <c r="G244" s="177">
        <f t="shared" si="51"/>
        <v>51.262499735011971</v>
      </c>
      <c r="H244" s="177">
        <f t="shared" si="51"/>
        <v>44.657977214217738</v>
      </c>
      <c r="I244" s="5"/>
      <c r="J244" s="5"/>
      <c r="K244" s="5"/>
    </row>
    <row r="245" spans="1:11" ht="21" customHeight="1">
      <c r="A245" s="5" t="s">
        <v>99</v>
      </c>
      <c r="B245" s="5"/>
      <c r="C245" s="5"/>
      <c r="D245" s="76">
        <f t="shared" ref="D245:H245" si="52">IF(D223&gt;0,D229/D223,"N/M")</f>
        <v>265.66689643453827</v>
      </c>
      <c r="E245" s="76">
        <f t="shared" si="52"/>
        <v>120.53078213183615</v>
      </c>
      <c r="F245" s="76">
        <f t="shared" si="52"/>
        <v>78.964276943383538</v>
      </c>
      <c r="G245" s="179">
        <f t="shared" si="52"/>
        <v>56.623281156644893</v>
      </c>
      <c r="H245" s="179">
        <f t="shared" si="52"/>
        <v>49.328089983107439</v>
      </c>
      <c r="I245" s="5"/>
      <c r="J245" s="5"/>
      <c r="K245" s="5"/>
    </row>
    <row r="246" spans="1:11" ht="21" customHeight="1">
      <c r="A246" s="5"/>
      <c r="B246" s="5"/>
      <c r="C246" s="5"/>
      <c r="D246" s="5"/>
      <c r="E246" s="5"/>
      <c r="F246" s="5"/>
      <c r="G246" s="171"/>
      <c r="H246" s="171"/>
      <c r="I246" s="5"/>
      <c r="J246" s="5"/>
      <c r="K246" s="5"/>
    </row>
    <row r="247" spans="1:11" ht="21" customHeight="1">
      <c r="A247" s="12" t="s">
        <v>104</v>
      </c>
      <c r="B247" s="5"/>
      <c r="C247" s="5"/>
      <c r="D247" s="5"/>
      <c r="E247" s="5"/>
      <c r="F247" s="5"/>
      <c r="G247" s="171"/>
      <c r="H247" s="171"/>
      <c r="I247" s="5"/>
      <c r="J247" s="5"/>
      <c r="K247" s="5"/>
    </row>
    <row r="248" spans="1:11" ht="21" customHeight="1">
      <c r="A248" s="5" t="s">
        <v>105</v>
      </c>
      <c r="B248" s="5"/>
      <c r="C248" s="5"/>
      <c r="D248" s="27">
        <f>F35/1000000</f>
        <v>1845638.8461249999</v>
      </c>
      <c r="E248" s="27">
        <f>D248</f>
        <v>1845638.8461249999</v>
      </c>
      <c r="F248" s="27">
        <f>D248</f>
        <v>1845638.8461249999</v>
      </c>
      <c r="G248" s="175">
        <f>D248</f>
        <v>1845638.8461249999</v>
      </c>
      <c r="H248" s="175">
        <f>D248</f>
        <v>1845638.8461249999</v>
      </c>
      <c r="I248" s="5"/>
      <c r="J248" s="5"/>
      <c r="K248" s="5"/>
    </row>
    <row r="249" spans="1:11" ht="21" customHeight="1">
      <c r="A249" s="5" t="s">
        <v>106</v>
      </c>
      <c r="B249" s="5"/>
      <c r="C249" s="5"/>
      <c r="E249" s="76" t="str">
        <f t="shared" ref="E249:G249" si="53">IF(E224&gt;0,E248/E224,"N/M")</f>
        <v>N/M</v>
      </c>
      <c r="F249" s="76">
        <f t="shared" si="53"/>
        <v>740.95535748607199</v>
      </c>
      <c r="G249" s="179">
        <f t="shared" si="53"/>
        <v>412.19297447723807</v>
      </c>
      <c r="H249" s="180">
        <f>IF(H224&gt;0,H248/H224,"N/M")</f>
        <v>363.69610833554145</v>
      </c>
      <c r="I249" s="5"/>
      <c r="J249" s="5"/>
      <c r="K249" s="5"/>
    </row>
    <row r="250" spans="1:11" ht="21" customHeight="1">
      <c r="A250" s="5"/>
      <c r="B250" s="5"/>
      <c r="C250" s="5"/>
      <c r="D250" s="5"/>
      <c r="E250" s="5"/>
      <c r="F250" s="5"/>
      <c r="G250" s="171"/>
      <c r="H250" s="171"/>
      <c r="I250" s="5"/>
      <c r="J250" s="5"/>
      <c r="K250" s="5"/>
    </row>
    <row r="251" spans="1:11" ht="21" customHeight="1">
      <c r="A251" s="12" t="s">
        <v>107</v>
      </c>
      <c r="B251" s="5"/>
      <c r="C251" s="5"/>
      <c r="D251" s="5"/>
      <c r="E251" s="5"/>
      <c r="F251" s="5"/>
      <c r="G251" s="171"/>
      <c r="H251" s="171"/>
      <c r="I251" s="5"/>
      <c r="J251" s="5"/>
      <c r="K251" s="5"/>
    </row>
    <row r="252" spans="1:11" ht="21" customHeight="1">
      <c r="A252" s="5" t="s">
        <v>101</v>
      </c>
      <c r="B252" s="5"/>
      <c r="C252" s="5"/>
      <c r="D252" s="32" t="str">
        <f t="shared" ref="D252:H252" si="54">IF(D225&gt;0,D228/D225,"N/M")</f>
        <v>N/M</v>
      </c>
      <c r="E252" s="32" t="str">
        <f t="shared" si="54"/>
        <v>N/M</v>
      </c>
      <c r="F252" s="32" t="str">
        <f t="shared" si="54"/>
        <v>N/M</v>
      </c>
      <c r="G252" s="177" t="str">
        <f t="shared" si="54"/>
        <v>N/M</v>
      </c>
      <c r="H252" s="177" t="str">
        <f t="shared" si="54"/>
        <v>N/M</v>
      </c>
      <c r="I252" s="5"/>
      <c r="J252" s="5"/>
      <c r="K252" s="5"/>
    </row>
    <row r="253" spans="1:11" ht="21" customHeight="1">
      <c r="A253" s="5" t="s">
        <v>99</v>
      </c>
      <c r="B253" s="5"/>
      <c r="C253" s="5"/>
      <c r="D253" s="76" t="str">
        <f t="shared" ref="D253:G253" si="55">IF(D225&gt;0,D229/D225,"N/M")</f>
        <v>N/M</v>
      </c>
      <c r="E253" s="76" t="str">
        <f t="shared" si="55"/>
        <v>N/M</v>
      </c>
      <c r="F253" s="76" t="str">
        <f t="shared" si="55"/>
        <v>N/M</v>
      </c>
      <c r="G253" s="76" t="str">
        <f t="shared" si="55"/>
        <v>N/M</v>
      </c>
      <c r="H253" s="124" t="str">
        <f>IF(H225&gt;0,H229/H225,"N/M")</f>
        <v>N/M</v>
      </c>
      <c r="I253" s="5"/>
      <c r="J253" s="5"/>
      <c r="K253" s="5"/>
    </row>
    <row r="254" spans="1:11" ht="21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ht="21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ht="21" customHeight="1">
      <c r="A256" s="3" t="s">
        <v>108</v>
      </c>
      <c r="B256" s="4"/>
      <c r="C256" s="4"/>
      <c r="D256" s="4"/>
      <c r="E256" s="4"/>
      <c r="F256" s="4"/>
      <c r="G256" s="4"/>
      <c r="H256" s="4"/>
      <c r="I256" s="5"/>
      <c r="J256" s="5"/>
      <c r="K256" s="5"/>
    </row>
    <row r="257" spans="1:11" ht="21" customHeight="1">
      <c r="A257" s="9" t="s">
        <v>109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spans="1:11" ht="21" customHeight="1">
      <c r="A258" s="150" t="s">
        <v>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spans="1:11" ht="21" customHeight="1">
      <c r="A259" s="5"/>
      <c r="B259" s="5"/>
      <c r="C259" s="5"/>
      <c r="D259" s="5"/>
      <c r="E259" s="5"/>
      <c r="F259" s="5"/>
      <c r="G259" s="5"/>
      <c r="H259" s="5"/>
      <c r="I259" s="77"/>
      <c r="J259" s="77"/>
      <c r="K259" s="77"/>
    </row>
    <row r="260" spans="1:11" ht="21" customHeight="1">
      <c r="A260" s="78" t="str">
        <f>"Calendar " &amp; COMPANY_INFO!C17</f>
        <v>Calendar FY 2029E</v>
      </c>
      <c r="B260" s="8"/>
      <c r="C260" s="8"/>
      <c r="D260" s="8"/>
      <c r="E260" s="8"/>
      <c r="F260" s="8"/>
      <c r="G260" s="8"/>
      <c r="H260" s="8"/>
      <c r="I260" s="77"/>
      <c r="J260" s="77"/>
      <c r="K260" s="77"/>
    </row>
    <row r="261" spans="1:11" ht="21" customHeight="1">
      <c r="A261" s="5"/>
      <c r="B261" s="5"/>
      <c r="C261" s="5"/>
      <c r="D261" s="79" t="s">
        <v>110</v>
      </c>
      <c r="E261" s="10" t="s">
        <v>111</v>
      </c>
      <c r="F261" s="80" t="s">
        <v>112</v>
      </c>
      <c r="G261" s="5"/>
      <c r="H261" s="5"/>
      <c r="I261" s="77"/>
      <c r="J261" s="77"/>
      <c r="K261" s="77"/>
    </row>
    <row r="262" spans="1:11" ht="21" customHeight="1">
      <c r="A262" s="5"/>
      <c r="B262" s="5"/>
      <c r="C262" s="5"/>
      <c r="D262" s="5"/>
      <c r="E262" s="5"/>
      <c r="F262" s="5"/>
      <c r="G262" s="5"/>
      <c r="H262" s="5"/>
      <c r="I262" s="77"/>
      <c r="J262" s="77"/>
      <c r="K262" s="77"/>
    </row>
    <row r="263" spans="1:11" ht="21" customHeight="1">
      <c r="A263" s="151" t="s">
        <v>700</v>
      </c>
      <c r="B263" s="5"/>
      <c r="C263" s="5"/>
      <c r="D263" s="162">
        <v>22500</v>
      </c>
      <c r="E263" s="162">
        <f>H88/1000</f>
        <v>35459.529179500001</v>
      </c>
      <c r="F263" s="162">
        <v>50000</v>
      </c>
      <c r="G263" s="5"/>
      <c r="H263" s="5"/>
      <c r="I263" s="77"/>
      <c r="J263" s="77"/>
      <c r="K263" s="77"/>
    </row>
    <row r="264" spans="1:11" ht="21" customHeight="1">
      <c r="A264" s="13" t="s">
        <v>701</v>
      </c>
      <c r="B264" s="5"/>
      <c r="C264" s="5"/>
      <c r="D264" s="163">
        <v>50</v>
      </c>
      <c r="E264" s="163">
        <v>75</v>
      </c>
      <c r="F264" s="163">
        <v>100</v>
      </c>
      <c r="G264" s="5"/>
      <c r="H264" s="5"/>
      <c r="I264" s="77"/>
      <c r="J264" s="77"/>
      <c r="K264" s="77"/>
    </row>
    <row r="265" spans="1:11" ht="9.75" customHeight="1">
      <c r="A265" s="5"/>
      <c r="B265" s="5"/>
      <c r="C265" s="5"/>
      <c r="D265" s="5"/>
      <c r="E265" s="5"/>
      <c r="F265" s="5"/>
      <c r="G265" s="5"/>
      <c r="H265" s="5"/>
      <c r="I265" s="77"/>
      <c r="J265" s="77"/>
      <c r="K265" s="77"/>
    </row>
    <row r="266" spans="1:11" ht="21" customHeight="1">
      <c r="A266" s="9" t="s">
        <v>113</v>
      </c>
      <c r="B266" s="5"/>
      <c r="C266" s="5"/>
      <c r="D266" s="5"/>
      <c r="E266" s="5"/>
      <c r="F266" s="5"/>
      <c r="G266" s="5"/>
      <c r="H266" s="5"/>
      <c r="I266" s="77"/>
      <c r="J266" s="77"/>
      <c r="K266" s="77"/>
    </row>
    <row r="267" spans="1:11" ht="21" customHeight="1">
      <c r="A267" s="5" t="s">
        <v>114</v>
      </c>
      <c r="B267" s="5"/>
      <c r="C267" s="81">
        <f>C13</f>
        <v>125</v>
      </c>
      <c r="D267" s="5"/>
      <c r="E267" s="5"/>
      <c r="F267" s="5"/>
      <c r="G267" s="5"/>
      <c r="H267" s="5"/>
      <c r="I267" s="77"/>
      <c r="J267" s="77"/>
      <c r="K267" s="77"/>
    </row>
    <row r="268" spans="1:11" ht="21" customHeight="1">
      <c r="A268" s="5" t="s">
        <v>115</v>
      </c>
      <c r="B268" s="5"/>
      <c r="C268" s="82">
        <f>C32</f>
        <v>14765110769</v>
      </c>
      <c r="D268" s="5"/>
      <c r="E268" s="5"/>
      <c r="F268" s="5"/>
      <c r="G268" s="5"/>
      <c r="H268" s="5"/>
      <c r="I268" s="77"/>
      <c r="J268" s="77"/>
      <c r="K268" s="77"/>
    </row>
    <row r="269" spans="1:11" ht="21" customHeight="1">
      <c r="A269" s="5" t="s">
        <v>501</v>
      </c>
      <c r="B269" s="5"/>
      <c r="C269" s="160">
        <f>(Annual_Financials!D34+Annual_Financials!D35+Annual_Financials!D36+ABS(E40)/1000-Annual_Financials!D50-Annual_Financials!D54)/1000</f>
        <v>96488</v>
      </c>
      <c r="D269" s="5"/>
      <c r="E269" s="5"/>
      <c r="F269" s="5"/>
      <c r="G269" s="5"/>
      <c r="H269" s="5"/>
      <c r="I269" s="77"/>
      <c r="J269" s="77"/>
      <c r="K269" s="77"/>
    </row>
    <row r="270" spans="1:11" ht="7.5" customHeight="1">
      <c r="A270" s="5"/>
      <c r="B270" s="5"/>
      <c r="C270" s="5"/>
      <c r="D270" s="5"/>
      <c r="E270" s="5"/>
      <c r="F270" s="5"/>
      <c r="G270" s="5"/>
      <c r="H270" s="5"/>
      <c r="I270" s="77"/>
      <c r="J270" s="77"/>
      <c r="K270" s="77"/>
    </row>
    <row r="271" spans="1:11" ht="7.5" customHeight="1">
      <c r="A271" s="5"/>
      <c r="B271" s="5"/>
      <c r="C271" s="5"/>
      <c r="D271" s="5"/>
      <c r="E271" s="5"/>
      <c r="F271" s="5"/>
      <c r="G271" s="5"/>
      <c r="H271" s="5"/>
      <c r="I271" s="77"/>
      <c r="J271" s="77"/>
      <c r="K271" s="77"/>
    </row>
    <row r="272" spans="1:11" ht="21" customHeight="1">
      <c r="A272" s="7" t="s">
        <v>6</v>
      </c>
      <c r="B272" s="8"/>
      <c r="C272" s="8"/>
      <c r="D272" s="8"/>
      <c r="E272" s="8"/>
      <c r="F272" s="8"/>
      <c r="G272" s="8"/>
      <c r="H272" s="8"/>
      <c r="I272" s="77"/>
      <c r="J272" s="77"/>
      <c r="K272" s="77"/>
    </row>
    <row r="273" spans="1:11" ht="21" customHeight="1">
      <c r="A273" s="5"/>
      <c r="B273" s="5"/>
      <c r="C273" s="5"/>
      <c r="D273" s="79" t="s">
        <v>110</v>
      </c>
      <c r="E273" s="10" t="s">
        <v>111</v>
      </c>
      <c r="F273" s="80" t="s">
        <v>112</v>
      </c>
      <c r="G273" s="5"/>
      <c r="H273" s="5"/>
      <c r="I273" s="77"/>
      <c r="J273" s="77"/>
      <c r="K273" s="77"/>
    </row>
    <row r="274" spans="1:11" ht="21" customHeight="1">
      <c r="A274" s="5"/>
      <c r="B274" s="5"/>
      <c r="C274" s="5"/>
      <c r="D274" s="5"/>
      <c r="E274" s="5"/>
      <c r="F274" s="5"/>
      <c r="G274" s="5"/>
      <c r="H274" s="5"/>
      <c r="I274" s="77"/>
      <c r="J274" s="77"/>
      <c r="K274" s="77"/>
    </row>
    <row r="275" spans="1:11" ht="21" customHeight="1">
      <c r="A275" s="5" t="s">
        <v>517</v>
      </c>
      <c r="B275" s="5"/>
      <c r="C275" s="5"/>
      <c r="D275" s="83">
        <f>D263*D264/1000</f>
        <v>1125</v>
      </c>
      <c r="E275" s="84">
        <f>E263*E264/1000</f>
        <v>2659.4646884624999</v>
      </c>
      <c r="F275" s="83">
        <f>F263*F264/1000</f>
        <v>5000</v>
      </c>
      <c r="G275" s="5"/>
      <c r="H275" s="5"/>
      <c r="I275" s="77"/>
      <c r="J275" s="77"/>
      <c r="K275" s="77"/>
    </row>
    <row r="276" spans="1:11" ht="21" customHeight="1">
      <c r="A276" s="5" t="s">
        <v>116</v>
      </c>
      <c r="B276" s="5"/>
      <c r="C276" s="5"/>
      <c r="D276" s="83">
        <f>C269/1000</f>
        <v>96.488</v>
      </c>
      <c r="E276" s="83">
        <f>C269/1000</f>
        <v>96.488</v>
      </c>
      <c r="F276" s="83">
        <f>C269/1000</f>
        <v>96.488</v>
      </c>
      <c r="G276" s="5"/>
      <c r="H276" s="5"/>
      <c r="I276" s="77"/>
      <c r="J276" s="77"/>
      <c r="K276" s="77"/>
    </row>
    <row r="277" spans="1:11" ht="21" customHeight="1">
      <c r="A277" s="12" t="s">
        <v>117</v>
      </c>
      <c r="B277" s="5"/>
      <c r="C277" s="5"/>
      <c r="D277" s="85">
        <f>D275+D276</f>
        <v>1221.4880000000001</v>
      </c>
      <c r="E277" s="86">
        <f>E275+E276</f>
        <v>2755.9526884624997</v>
      </c>
      <c r="F277" s="85">
        <f>F275+F276</f>
        <v>5096.4880000000003</v>
      </c>
      <c r="G277" s="5"/>
      <c r="H277" s="5"/>
      <c r="I277" s="77"/>
      <c r="J277" s="77"/>
      <c r="K277" s="77"/>
    </row>
    <row r="278" spans="1:11" ht="9" customHeight="1" thickBot="1">
      <c r="A278" s="5"/>
      <c r="B278" s="5"/>
      <c r="C278" s="5"/>
      <c r="D278" s="5"/>
      <c r="E278" s="5"/>
      <c r="F278" s="5"/>
      <c r="G278" s="5"/>
      <c r="H278" s="5"/>
      <c r="I278" s="77"/>
      <c r="J278" s="77"/>
      <c r="K278" s="77"/>
    </row>
    <row r="279" spans="1:11" ht="21" customHeight="1" thickBot="1">
      <c r="A279" s="13" t="s">
        <v>118</v>
      </c>
      <c r="B279" s="5"/>
      <c r="C279" s="5"/>
      <c r="D279" s="199">
        <f>D277*1000000000/C268</f>
        <v>82.727994331377985</v>
      </c>
      <c r="E279" s="200">
        <f>E277*1000000000/C268</f>
        <v>186.65303170286697</v>
      </c>
      <c r="F279" s="201">
        <f>F277*1000000000/C268</f>
        <v>345.17099666467124</v>
      </c>
      <c r="G279" s="5"/>
      <c r="H279" s="5"/>
      <c r="I279" s="77"/>
      <c r="J279" s="77"/>
      <c r="K279" s="77"/>
    </row>
    <row r="280" spans="1:11" ht="9" customHeight="1" thickBot="1">
      <c r="A280" s="5"/>
      <c r="B280" s="5"/>
      <c r="C280" s="5"/>
      <c r="D280" s="5"/>
      <c r="E280" s="154"/>
      <c r="F280" s="5"/>
      <c r="G280" s="5"/>
      <c r="H280" s="5"/>
      <c r="I280" s="77"/>
      <c r="J280" s="77"/>
      <c r="K280" s="77"/>
    </row>
    <row r="281" spans="1:11" ht="21" customHeight="1" thickBot="1">
      <c r="A281" s="13" t="s">
        <v>119</v>
      </c>
      <c r="B281" s="5"/>
      <c r="C281" s="5"/>
      <c r="D281" s="196">
        <f>D279/C267-1</f>
        <v>-0.33817604534897616</v>
      </c>
      <c r="E281" s="197">
        <f>E279/C267-1</f>
        <v>0.49322425362293565</v>
      </c>
      <c r="F281" s="198">
        <f>F279/C267-1</f>
        <v>1.7613679733173697</v>
      </c>
      <c r="G281" s="5"/>
      <c r="H281" s="5"/>
      <c r="I281" s="77"/>
      <c r="J281" s="77"/>
      <c r="K281" s="77"/>
    </row>
    <row r="282" spans="1:11" ht="9.75" customHeight="1">
      <c r="A282" s="87"/>
      <c r="B282" s="87"/>
      <c r="C282" s="87"/>
      <c r="D282" s="87"/>
      <c r="E282" s="87"/>
      <c r="F282" s="87"/>
      <c r="G282" s="87"/>
      <c r="H282" s="87"/>
      <c r="I282" s="77"/>
      <c r="J282" s="77"/>
      <c r="K282" s="77"/>
    </row>
    <row r="283" spans="1:11" ht="9.75" customHeight="1">
      <c r="A283" s="87"/>
      <c r="B283" s="87"/>
      <c r="C283" s="87"/>
      <c r="D283" s="87"/>
      <c r="E283" s="87"/>
      <c r="F283" s="87"/>
      <c r="G283" s="87"/>
      <c r="H283" s="87"/>
      <c r="I283" s="77"/>
      <c r="J283" s="77"/>
      <c r="K283" s="77"/>
    </row>
    <row r="284" spans="1:11" ht="21" customHeight="1">
      <c r="A284" s="88"/>
      <c r="B284" s="88"/>
      <c r="C284" s="88"/>
      <c r="D284" s="88"/>
      <c r="E284" s="88"/>
      <c r="F284" s="88"/>
      <c r="G284" s="88"/>
      <c r="H284" s="88"/>
      <c r="I284" s="77"/>
      <c r="J284" s="77"/>
      <c r="K284" s="77"/>
    </row>
    <row r="285" spans="1:11" ht="21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</row>
    <row r="286" spans="1:11" ht="21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</row>
    <row r="287" spans="1:11" ht="21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</row>
    <row r="288" spans="1:11" ht="21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</row>
    <row r="289" spans="1:11" ht="21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</row>
    <row r="290" spans="1:11" ht="21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</row>
    <row r="291" spans="1:11" ht="21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</row>
    <row r="292" spans="1:11" ht="21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</row>
    <row r="293" spans="1:11" ht="21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</row>
    <row r="294" spans="1:11" ht="21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</row>
    <row r="295" spans="1:11" ht="21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</row>
    <row r="296" spans="1:11" ht="21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</row>
    <row r="297" spans="1:11" ht="21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</row>
    <row r="298" spans="1:11" ht="21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</row>
    <row r="299" spans="1:11" ht="21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</row>
    <row r="300" spans="1:11" ht="21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</row>
    <row r="301" spans="1:11" ht="21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</row>
    <row r="302" spans="1:11" ht="21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</row>
    <row r="303" spans="1:11" ht="21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</row>
    <row r="304" spans="1:11" ht="21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</row>
    <row r="305" spans="1:11" ht="21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</row>
    <row r="306" spans="1:11" ht="21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</row>
    <row r="307" spans="1:11" ht="21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</row>
    <row r="308" spans="1:11" ht="21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</row>
    <row r="309" spans="1:11" ht="21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</row>
    <row r="310" spans="1:11" ht="21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</row>
    <row r="311" spans="1:11" ht="21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</row>
    <row r="312" spans="1:11" ht="21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</row>
    <row r="313" spans="1:11" ht="21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</row>
    <row r="314" spans="1:11" ht="21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</row>
    <row r="315" spans="1:11" ht="21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</row>
    <row r="316" spans="1:11" ht="21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</row>
    <row r="317" spans="1:11" ht="21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</row>
    <row r="318" spans="1:11" ht="21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</row>
    <row r="319" spans="1:11" ht="21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</row>
    <row r="320" spans="1:11" ht="21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</row>
    <row r="321" spans="1:11" ht="21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</row>
    <row r="322" spans="1:11" ht="21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</row>
    <row r="323" spans="1:11" ht="21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</row>
    <row r="324" spans="1:11" ht="21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</row>
    <row r="325" spans="1:11" ht="21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</row>
    <row r="326" spans="1:11" ht="21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</row>
    <row r="327" spans="1:11" ht="21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</row>
    <row r="328" spans="1:11" ht="21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</row>
    <row r="329" spans="1:11" ht="21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</row>
    <row r="330" spans="1:11" ht="21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</row>
    <row r="331" spans="1:11" ht="21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</row>
    <row r="332" spans="1:11" ht="21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</row>
    <row r="333" spans="1:11" ht="21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</row>
    <row r="334" spans="1:11" ht="21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</row>
    <row r="335" spans="1:11" ht="21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</row>
    <row r="336" spans="1:11" ht="21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</row>
    <row r="337" spans="1:11" ht="21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</row>
    <row r="338" spans="1:11" ht="21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</row>
    <row r="339" spans="1:11" ht="21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</row>
    <row r="340" spans="1:11" ht="21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</row>
    <row r="341" spans="1:11" ht="21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</row>
    <row r="342" spans="1:11" ht="21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</row>
    <row r="343" spans="1:11" ht="21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</row>
    <row r="344" spans="1:11" ht="21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</row>
    <row r="345" spans="1:11" ht="21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</row>
    <row r="346" spans="1:11" ht="21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</row>
    <row r="347" spans="1:11" ht="21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</row>
    <row r="348" spans="1:11" ht="21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</row>
    <row r="349" spans="1:11" ht="21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</row>
    <row r="350" spans="1:11" ht="21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</row>
    <row r="351" spans="1:11" ht="21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</row>
    <row r="352" spans="1:11" ht="21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</row>
    <row r="353" spans="1:11" ht="21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</row>
    <row r="354" spans="1:11" ht="21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</row>
    <row r="355" spans="1:11" ht="21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</row>
    <row r="356" spans="1:11" ht="21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</row>
    <row r="357" spans="1:11" ht="21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</row>
    <row r="358" spans="1:11" ht="21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</row>
    <row r="359" spans="1:11" ht="21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</row>
    <row r="360" spans="1:11" ht="21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</row>
    <row r="361" spans="1:11" ht="21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</row>
    <row r="362" spans="1:11" ht="21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</row>
    <row r="363" spans="1:11" ht="21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</row>
    <row r="364" spans="1:11" ht="21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</row>
    <row r="365" spans="1:11" ht="21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</row>
    <row r="366" spans="1:11" ht="21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</row>
    <row r="367" spans="1:11" ht="21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</row>
    <row r="368" spans="1:11" ht="21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</row>
    <row r="369" spans="1:11" ht="21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</row>
    <row r="370" spans="1:11" ht="21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</row>
    <row r="371" spans="1:11" ht="21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</row>
    <row r="372" spans="1:11" ht="21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</row>
    <row r="373" spans="1:11" ht="21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</row>
    <row r="374" spans="1:11" ht="21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</row>
    <row r="375" spans="1:11" ht="21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</row>
    <row r="376" spans="1:11" ht="21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</row>
    <row r="377" spans="1:11" ht="21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</row>
    <row r="378" spans="1:11" ht="21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</row>
    <row r="379" spans="1:11" ht="21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</row>
    <row r="380" spans="1:11" ht="21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</row>
    <row r="381" spans="1:11" ht="21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</row>
    <row r="382" spans="1:11" ht="21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</row>
    <row r="383" spans="1:11" ht="21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</row>
    <row r="384" spans="1:11" ht="21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</row>
    <row r="385" spans="1:11" ht="21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</row>
    <row r="386" spans="1:11" ht="21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</row>
    <row r="387" spans="1:11" ht="21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</row>
    <row r="388" spans="1:11" ht="21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</row>
    <row r="389" spans="1:11" ht="21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</row>
    <row r="390" spans="1:11" ht="21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</row>
    <row r="391" spans="1:11" ht="21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</row>
    <row r="392" spans="1:11" ht="21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</row>
    <row r="393" spans="1:11" ht="21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</row>
    <row r="394" spans="1:11" ht="21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</row>
    <row r="395" spans="1:11" ht="21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</row>
    <row r="396" spans="1:11" ht="21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</row>
    <row r="397" spans="1:11" ht="21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</row>
    <row r="398" spans="1:11" ht="21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</row>
    <row r="399" spans="1:11" ht="21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</row>
    <row r="400" spans="1:11" ht="21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</row>
    <row r="401" spans="1:11" ht="21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</row>
    <row r="402" spans="1:11" ht="21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</row>
    <row r="403" spans="1:11" ht="21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</row>
    <row r="404" spans="1:11" ht="21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</row>
    <row r="405" spans="1:11" ht="21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</row>
    <row r="406" spans="1:11" ht="21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</row>
    <row r="407" spans="1:11" ht="21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</row>
    <row r="408" spans="1:11" ht="21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</row>
    <row r="409" spans="1:11" ht="21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</row>
    <row r="410" spans="1:11" ht="21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</row>
    <row r="411" spans="1:11" ht="21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</row>
    <row r="412" spans="1:11" ht="21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</row>
    <row r="413" spans="1:11" ht="21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</row>
    <row r="414" spans="1:11" ht="21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</row>
    <row r="415" spans="1:11" ht="21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</row>
    <row r="416" spans="1:11" ht="21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</row>
    <row r="417" spans="1:11" ht="21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</row>
    <row r="418" spans="1:11" ht="21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</row>
    <row r="419" spans="1:11" ht="21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</row>
    <row r="420" spans="1:11" ht="21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</row>
    <row r="421" spans="1:11" ht="21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</row>
    <row r="422" spans="1:11" ht="21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</row>
    <row r="423" spans="1:11" ht="21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</row>
    <row r="424" spans="1:11" ht="21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</row>
    <row r="425" spans="1:11" ht="21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</row>
    <row r="426" spans="1:11" ht="21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</row>
    <row r="427" spans="1:11" ht="21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</row>
    <row r="428" spans="1:11" ht="21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</row>
    <row r="429" spans="1:11" ht="21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</row>
    <row r="430" spans="1:11" ht="21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</row>
    <row r="431" spans="1:11" ht="21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</row>
    <row r="432" spans="1:11" ht="21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</row>
    <row r="433" spans="1:11" ht="21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</row>
    <row r="434" spans="1:11" ht="21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</row>
    <row r="435" spans="1:11" ht="21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</row>
    <row r="436" spans="1:11" ht="21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</row>
    <row r="437" spans="1:11" ht="21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</row>
    <row r="438" spans="1:11" ht="21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</row>
    <row r="439" spans="1:11" ht="21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</row>
    <row r="440" spans="1:11" ht="21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</row>
    <row r="441" spans="1:11" ht="21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</row>
    <row r="442" spans="1:11" ht="21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</row>
    <row r="443" spans="1:11" ht="21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</row>
    <row r="444" spans="1:11" ht="21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</row>
    <row r="445" spans="1:11" ht="21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</row>
    <row r="446" spans="1:11" ht="21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</row>
    <row r="447" spans="1:11" ht="21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</row>
    <row r="448" spans="1:11" ht="21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</row>
    <row r="449" spans="1:11" ht="21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</row>
    <row r="450" spans="1:11" ht="21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</row>
    <row r="451" spans="1:11" ht="21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</row>
    <row r="452" spans="1:11" ht="21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</row>
    <row r="453" spans="1:11" ht="21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</row>
    <row r="454" spans="1:11" ht="21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</row>
    <row r="455" spans="1:11" ht="21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</row>
    <row r="456" spans="1:11" ht="21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</row>
    <row r="457" spans="1:11" ht="21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</row>
    <row r="458" spans="1:11" ht="21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</row>
    <row r="459" spans="1:11" ht="21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</row>
    <row r="460" spans="1:11" ht="21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</row>
    <row r="461" spans="1:11" ht="21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</row>
    <row r="462" spans="1:11" ht="21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</row>
    <row r="463" spans="1:11" ht="21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</row>
    <row r="464" spans="1:11" ht="21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</row>
    <row r="465" spans="1:11" ht="21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</row>
    <row r="466" spans="1:11" ht="21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</row>
    <row r="467" spans="1:11" ht="21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</row>
    <row r="468" spans="1:11" ht="21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</row>
    <row r="469" spans="1:11" ht="21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</row>
    <row r="470" spans="1:11" ht="21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</row>
    <row r="471" spans="1:11" ht="21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</row>
    <row r="472" spans="1:11" ht="21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</row>
    <row r="473" spans="1:11" ht="21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</row>
    <row r="474" spans="1:11" ht="21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</row>
    <row r="475" spans="1:11" ht="21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</row>
    <row r="476" spans="1:11" ht="21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</row>
    <row r="477" spans="1:11" ht="21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</row>
    <row r="478" spans="1:11" ht="21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</row>
    <row r="479" spans="1:11" ht="21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</row>
    <row r="480" spans="1:11" ht="21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</row>
    <row r="481" spans="1:11" ht="21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</row>
    <row r="482" spans="1:11" ht="21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</row>
    <row r="483" spans="1:11" ht="21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</row>
    <row r="484" spans="1:11" ht="21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</row>
    <row r="485" spans="1:11" ht="21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</row>
    <row r="486" spans="1:11" ht="21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</row>
    <row r="487" spans="1:11" ht="21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</row>
    <row r="488" spans="1:11" ht="21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</row>
    <row r="489" spans="1:11" ht="21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</row>
    <row r="490" spans="1:11" ht="21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</row>
    <row r="491" spans="1:11" ht="21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</row>
    <row r="492" spans="1:11" ht="21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</row>
    <row r="493" spans="1:11" ht="21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</row>
    <row r="494" spans="1:11" ht="21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</row>
    <row r="495" spans="1:11" ht="21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</row>
    <row r="496" spans="1:11" ht="21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</row>
    <row r="497" spans="1:11" ht="21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</row>
    <row r="498" spans="1:11" ht="21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</row>
    <row r="499" spans="1:11" ht="21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</row>
    <row r="500" spans="1:11" ht="21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</row>
    <row r="501" spans="1:11" ht="21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</row>
    <row r="502" spans="1:11" ht="21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</row>
    <row r="503" spans="1:11" ht="21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</row>
    <row r="504" spans="1:11" ht="21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</row>
    <row r="505" spans="1:11" ht="21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</row>
    <row r="506" spans="1:11" ht="21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</row>
    <row r="507" spans="1:11" ht="21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</row>
    <row r="508" spans="1:11" ht="21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</row>
    <row r="509" spans="1:11" ht="21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</row>
    <row r="510" spans="1:11" ht="21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</row>
    <row r="511" spans="1:11" ht="21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</row>
    <row r="512" spans="1:11" ht="21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</row>
    <row r="513" spans="1:11" ht="21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</row>
    <row r="514" spans="1:11" ht="21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</row>
    <row r="515" spans="1:11" ht="21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</row>
    <row r="516" spans="1:11" ht="21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</row>
    <row r="517" spans="1:11" ht="21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</row>
    <row r="518" spans="1:11" ht="21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</row>
    <row r="519" spans="1:11" ht="21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</row>
    <row r="520" spans="1:11" ht="21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</row>
    <row r="521" spans="1:11" ht="21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</row>
    <row r="522" spans="1:11" ht="21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</row>
    <row r="523" spans="1:11" ht="21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</row>
    <row r="524" spans="1:11" ht="21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</row>
    <row r="525" spans="1:11" ht="21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</row>
    <row r="526" spans="1:11" ht="21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</row>
    <row r="527" spans="1:11" ht="21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</row>
    <row r="528" spans="1:11" ht="21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</row>
    <row r="529" spans="1:11" ht="21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</row>
    <row r="530" spans="1:11" ht="21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</row>
    <row r="531" spans="1:11" ht="21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</row>
    <row r="532" spans="1:11" ht="21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</row>
    <row r="533" spans="1:11" ht="21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</row>
    <row r="534" spans="1:11" ht="21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</row>
    <row r="535" spans="1:11" ht="21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</row>
    <row r="536" spans="1:11" ht="21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</row>
    <row r="537" spans="1:11" ht="21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</row>
    <row r="538" spans="1:11" ht="21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</row>
    <row r="539" spans="1:11" ht="21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</row>
    <row r="540" spans="1:11" ht="21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</row>
    <row r="541" spans="1:11" ht="21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</row>
    <row r="542" spans="1:11" ht="21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</row>
    <row r="543" spans="1:11" ht="21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</row>
    <row r="544" spans="1:11" ht="21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</row>
    <row r="545" spans="1:11" ht="21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</row>
    <row r="546" spans="1:11" ht="21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</row>
    <row r="547" spans="1:11" ht="21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</row>
    <row r="548" spans="1:11" ht="21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</row>
    <row r="549" spans="1:11" ht="21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</row>
    <row r="550" spans="1:11" ht="21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</row>
    <row r="551" spans="1:11" ht="21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</row>
    <row r="552" spans="1:11" ht="21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</row>
    <row r="553" spans="1:11" ht="21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</row>
    <row r="554" spans="1:11" ht="21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</row>
    <row r="555" spans="1:11" ht="21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</row>
    <row r="556" spans="1:11" ht="21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</row>
    <row r="557" spans="1:11" ht="21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</row>
    <row r="558" spans="1:11" ht="21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</row>
    <row r="559" spans="1:11" ht="21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</row>
    <row r="560" spans="1:11" ht="21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</row>
    <row r="561" spans="1:11" ht="21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</row>
    <row r="562" spans="1:11" ht="21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</row>
    <row r="563" spans="1:11" ht="21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</row>
    <row r="564" spans="1:11" ht="21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</row>
    <row r="565" spans="1:11" ht="21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</row>
    <row r="566" spans="1:11" ht="21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</row>
    <row r="567" spans="1:11" ht="21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</row>
    <row r="568" spans="1:11" ht="21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</row>
    <row r="569" spans="1:11" ht="21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</row>
    <row r="570" spans="1:11" ht="21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</row>
    <row r="571" spans="1:11" ht="21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</row>
    <row r="572" spans="1:11" ht="21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</row>
    <row r="573" spans="1:11" ht="21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</row>
    <row r="574" spans="1:11" ht="21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</row>
    <row r="575" spans="1:11" ht="21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</row>
    <row r="576" spans="1:11" ht="21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</row>
    <row r="577" spans="1:11" ht="21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</row>
    <row r="578" spans="1:11" ht="21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</row>
    <row r="579" spans="1:11" ht="21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</row>
    <row r="580" spans="1:11" ht="21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</row>
    <row r="581" spans="1:11" ht="21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</row>
    <row r="582" spans="1:11" ht="21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</row>
    <row r="583" spans="1:11" ht="21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</row>
    <row r="584" spans="1:11" ht="21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</row>
    <row r="585" spans="1:11" ht="21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</row>
    <row r="586" spans="1:11" ht="21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</row>
    <row r="587" spans="1:11" ht="21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</row>
    <row r="588" spans="1:11" ht="21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</row>
    <row r="589" spans="1:11" ht="21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</row>
    <row r="590" spans="1:11" ht="21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</row>
    <row r="591" spans="1:11" ht="21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</row>
    <row r="592" spans="1:11" ht="21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</row>
    <row r="593" spans="1:11" ht="21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</row>
    <row r="594" spans="1:11" ht="21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</row>
    <row r="595" spans="1:11" ht="21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</row>
    <row r="596" spans="1:11" ht="21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</row>
    <row r="597" spans="1:11" ht="21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</row>
    <row r="598" spans="1:11" ht="21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</row>
    <row r="599" spans="1:11" ht="21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</row>
    <row r="600" spans="1:11" ht="21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</row>
    <row r="601" spans="1:11" ht="21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</row>
    <row r="602" spans="1:11" ht="21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</row>
    <row r="603" spans="1:11" ht="21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</row>
    <row r="604" spans="1:11" ht="21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</row>
    <row r="605" spans="1:11" ht="21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</row>
    <row r="606" spans="1:11" ht="21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</row>
    <row r="607" spans="1:11" ht="21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</row>
    <row r="608" spans="1:11" ht="21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</row>
    <row r="609" spans="1:11" ht="21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</row>
    <row r="610" spans="1:11" ht="21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</row>
    <row r="611" spans="1:11" ht="21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</row>
    <row r="612" spans="1:11" ht="21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</row>
    <row r="613" spans="1:11" ht="21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</row>
    <row r="614" spans="1:11" ht="21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</row>
    <row r="615" spans="1:11" ht="21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</row>
    <row r="616" spans="1:11" ht="21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</row>
    <row r="617" spans="1:11" ht="21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</row>
    <row r="618" spans="1:11" ht="21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</row>
    <row r="619" spans="1:11" ht="21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</row>
    <row r="620" spans="1:11" ht="21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</row>
    <row r="621" spans="1:11" ht="21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</row>
    <row r="622" spans="1:11" ht="21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</row>
    <row r="623" spans="1:11" ht="21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</row>
    <row r="624" spans="1:11" ht="21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</row>
    <row r="625" spans="1:11" ht="21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</row>
    <row r="626" spans="1:11" ht="21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</row>
    <row r="627" spans="1:11" ht="21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</row>
    <row r="628" spans="1:11" ht="21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</row>
    <row r="629" spans="1:11" ht="21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</row>
    <row r="630" spans="1:11" ht="21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</row>
    <row r="631" spans="1:11" ht="21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</row>
    <row r="632" spans="1:11" ht="21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</row>
    <row r="633" spans="1:11" ht="21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</row>
    <row r="634" spans="1:11" ht="21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</row>
    <row r="635" spans="1:11" ht="21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</row>
    <row r="636" spans="1:11" ht="21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</row>
    <row r="637" spans="1:11" ht="21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</row>
    <row r="638" spans="1:11" ht="21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</row>
    <row r="639" spans="1:11" ht="21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</row>
    <row r="640" spans="1:11" ht="21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</row>
    <row r="641" spans="1:11" ht="21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</row>
    <row r="642" spans="1:11" ht="21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</row>
    <row r="643" spans="1:11" ht="21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</row>
    <row r="644" spans="1:11" ht="21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</row>
    <row r="645" spans="1:11" ht="21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</row>
    <row r="646" spans="1:11" ht="21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</row>
    <row r="647" spans="1:11" ht="21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</row>
    <row r="648" spans="1:11" ht="21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</row>
    <row r="649" spans="1:11" ht="21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</row>
    <row r="650" spans="1:11" ht="21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</row>
    <row r="651" spans="1:11" ht="21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</row>
    <row r="652" spans="1:11" ht="21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</row>
    <row r="653" spans="1:11" ht="21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</row>
    <row r="654" spans="1:11" ht="21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</row>
    <row r="655" spans="1:11" ht="21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</row>
    <row r="656" spans="1:11" ht="21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</row>
    <row r="657" spans="1:11" ht="21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</row>
    <row r="658" spans="1:11" ht="21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</row>
    <row r="659" spans="1:11" ht="21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</row>
    <row r="660" spans="1:11" ht="21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</row>
    <row r="661" spans="1:11" ht="21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</row>
    <row r="662" spans="1:11" ht="21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</row>
    <row r="663" spans="1:11" ht="21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</row>
    <row r="664" spans="1:11" ht="21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</row>
    <row r="665" spans="1:11" ht="21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</row>
    <row r="666" spans="1:11" ht="21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</row>
    <row r="667" spans="1:11" ht="21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</row>
    <row r="668" spans="1:11" ht="21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</row>
    <row r="669" spans="1:11" ht="21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</row>
    <row r="670" spans="1:11" ht="21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</row>
    <row r="671" spans="1:11" ht="21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</row>
    <row r="672" spans="1:11" ht="21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</row>
    <row r="673" spans="1:11" ht="21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</row>
    <row r="674" spans="1:11" ht="21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</row>
    <row r="675" spans="1:11" ht="21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</row>
    <row r="676" spans="1:11" ht="21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</row>
    <row r="677" spans="1:11" ht="21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</row>
    <row r="678" spans="1:11" ht="21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</row>
    <row r="679" spans="1:11" ht="21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</row>
    <row r="680" spans="1:11" ht="21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</row>
    <row r="681" spans="1:11" ht="21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</row>
    <row r="682" spans="1:11" ht="21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</row>
    <row r="683" spans="1:11" ht="21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</row>
    <row r="684" spans="1:11" ht="21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</row>
    <row r="685" spans="1:11" ht="21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</row>
    <row r="686" spans="1:11" ht="21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</row>
    <row r="687" spans="1:11" ht="21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</row>
    <row r="688" spans="1:11" ht="21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</row>
    <row r="689" spans="1:11" ht="21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</row>
    <row r="690" spans="1:11" ht="21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</row>
    <row r="691" spans="1:11" ht="21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</row>
    <row r="692" spans="1:11" ht="21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</row>
    <row r="693" spans="1:11" ht="21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</row>
    <row r="694" spans="1:11" ht="21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</row>
    <row r="695" spans="1:11" ht="21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</row>
    <row r="696" spans="1:11" ht="21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</row>
    <row r="697" spans="1:11" ht="21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</row>
    <row r="698" spans="1:11" ht="21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</row>
    <row r="699" spans="1:11" ht="21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</row>
    <row r="700" spans="1:11" ht="21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</row>
    <row r="701" spans="1:11" ht="21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</row>
    <row r="702" spans="1:11" ht="21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</row>
    <row r="703" spans="1:11" ht="21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</row>
    <row r="704" spans="1:11" ht="21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</row>
    <row r="705" spans="1:11" ht="21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</row>
    <row r="706" spans="1:11" ht="21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</row>
    <row r="707" spans="1:11" ht="21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</row>
    <row r="708" spans="1:11" ht="21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</row>
    <row r="709" spans="1:11" ht="21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</row>
    <row r="710" spans="1:11" ht="21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</row>
    <row r="711" spans="1:11" ht="21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</row>
    <row r="712" spans="1:11" ht="21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</row>
    <row r="713" spans="1:11" ht="21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</row>
    <row r="714" spans="1:11" ht="21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</row>
    <row r="715" spans="1:11" ht="21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</row>
    <row r="716" spans="1:11" ht="21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</row>
    <row r="717" spans="1:11" ht="21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</row>
    <row r="718" spans="1:11" ht="21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</row>
    <row r="719" spans="1:11" ht="21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</row>
    <row r="720" spans="1:11" ht="21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</row>
    <row r="721" spans="1:11" ht="21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</row>
    <row r="722" spans="1:11" ht="21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</row>
    <row r="723" spans="1:11" ht="21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</row>
    <row r="724" spans="1:11" ht="21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</row>
    <row r="725" spans="1:11" ht="21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</row>
    <row r="726" spans="1:11" ht="21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</row>
    <row r="727" spans="1:11" ht="21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</row>
    <row r="728" spans="1:11" ht="21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</row>
    <row r="729" spans="1:11" ht="21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</row>
    <row r="730" spans="1:11" ht="21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</row>
    <row r="731" spans="1:11" ht="21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</row>
    <row r="732" spans="1:11" ht="21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</row>
    <row r="733" spans="1:11" ht="21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</row>
    <row r="734" spans="1:11" ht="21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</row>
    <row r="735" spans="1:11" ht="21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</row>
    <row r="736" spans="1:11" ht="21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</row>
    <row r="737" spans="1:11" ht="21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</row>
    <row r="738" spans="1:11" ht="21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</row>
    <row r="739" spans="1:11" ht="21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</row>
    <row r="740" spans="1:11" ht="21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</row>
    <row r="741" spans="1:11" ht="21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</row>
    <row r="742" spans="1:11" ht="21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</row>
    <row r="743" spans="1:11" ht="21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</row>
    <row r="744" spans="1:11" ht="21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</row>
    <row r="745" spans="1:11" ht="21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</row>
    <row r="746" spans="1:11" ht="21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</row>
    <row r="747" spans="1:11" ht="21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</row>
    <row r="748" spans="1:11" ht="21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</row>
    <row r="749" spans="1:11" ht="21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</row>
    <row r="750" spans="1:11" ht="21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</row>
    <row r="751" spans="1:11" ht="21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</row>
    <row r="752" spans="1:11" ht="21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</row>
    <row r="753" spans="1:11" ht="21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</row>
    <row r="754" spans="1:11" ht="21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</row>
    <row r="755" spans="1:11" ht="21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</row>
    <row r="756" spans="1:11" ht="21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</row>
    <row r="757" spans="1:11" ht="21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</row>
    <row r="758" spans="1:11" ht="21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</row>
    <row r="759" spans="1:11" ht="21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</row>
    <row r="760" spans="1:11" ht="21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</row>
    <row r="761" spans="1:11" ht="21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</row>
    <row r="762" spans="1:11" ht="21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</row>
    <row r="763" spans="1:11" ht="21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</row>
    <row r="764" spans="1:11" ht="21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</row>
    <row r="765" spans="1:11" ht="21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</row>
    <row r="766" spans="1:11" ht="21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</row>
    <row r="767" spans="1:11" ht="21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</row>
    <row r="768" spans="1:11" ht="21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</row>
    <row r="769" spans="1:11" ht="21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</row>
    <row r="770" spans="1:11" ht="21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</row>
    <row r="771" spans="1:11" ht="21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</row>
    <row r="772" spans="1:11" ht="21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</row>
    <row r="773" spans="1:11" ht="21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</row>
    <row r="774" spans="1:11" ht="21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</row>
    <row r="775" spans="1:11" ht="21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</row>
    <row r="776" spans="1:11" ht="21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</row>
    <row r="777" spans="1:11" ht="21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</row>
    <row r="778" spans="1:11" ht="21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</row>
    <row r="779" spans="1:11" ht="21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</row>
    <row r="780" spans="1:11" ht="21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</row>
    <row r="781" spans="1:11" ht="21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</row>
    <row r="782" spans="1:11" ht="21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</row>
    <row r="783" spans="1:11" ht="21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</row>
    <row r="784" spans="1:11" ht="21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</row>
    <row r="785" spans="1:11" ht="21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</row>
    <row r="786" spans="1:11" ht="21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</row>
    <row r="787" spans="1:11" ht="21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</row>
    <row r="788" spans="1:11" ht="21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</row>
    <row r="789" spans="1:11" ht="21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</row>
    <row r="790" spans="1:11" ht="21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</row>
    <row r="791" spans="1:11" ht="21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</row>
    <row r="792" spans="1:11" ht="21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</row>
    <row r="793" spans="1:11" ht="21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</row>
    <row r="794" spans="1:11" ht="21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</row>
    <row r="795" spans="1:11" ht="21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</row>
    <row r="796" spans="1:11" ht="21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</row>
    <row r="797" spans="1:11" ht="21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</row>
    <row r="798" spans="1:11" ht="21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</row>
    <row r="799" spans="1:11" ht="21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</row>
    <row r="800" spans="1:11" ht="21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</row>
    <row r="801" spans="1:11" ht="21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</row>
    <row r="802" spans="1:11" ht="21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</row>
    <row r="803" spans="1:11" ht="21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</row>
    <row r="804" spans="1:11" ht="21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</row>
    <row r="805" spans="1:11" ht="21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</row>
    <row r="806" spans="1:11" ht="21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</row>
    <row r="807" spans="1:11" ht="21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</row>
    <row r="808" spans="1:11" ht="21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</row>
    <row r="809" spans="1:11" ht="21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</row>
    <row r="810" spans="1:11" ht="21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</row>
    <row r="811" spans="1:11" ht="21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</row>
    <row r="812" spans="1:11" ht="21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</row>
    <row r="813" spans="1:11" ht="21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</row>
    <row r="814" spans="1:11" ht="21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</row>
    <row r="815" spans="1:11" ht="21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</row>
    <row r="816" spans="1:11" ht="21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</row>
    <row r="817" spans="1:11" ht="21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</row>
    <row r="818" spans="1:11" ht="21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</row>
    <row r="819" spans="1:11" ht="21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</row>
    <row r="820" spans="1:11" ht="21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</row>
    <row r="821" spans="1:11" ht="21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</row>
    <row r="822" spans="1:11" ht="21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</row>
    <row r="823" spans="1:11" ht="21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</row>
    <row r="824" spans="1:11" ht="21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</row>
    <row r="825" spans="1:11" ht="21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</row>
    <row r="826" spans="1:11" ht="21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</row>
    <row r="827" spans="1:11" ht="21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</row>
    <row r="828" spans="1:11" ht="21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</row>
    <row r="829" spans="1:11" ht="21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</row>
    <row r="830" spans="1:11" ht="21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</row>
    <row r="831" spans="1:11" ht="21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</row>
    <row r="832" spans="1:11" ht="21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</row>
    <row r="833" spans="1:11" ht="21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</row>
    <row r="834" spans="1:11" ht="21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</row>
    <row r="835" spans="1:11" ht="21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</row>
    <row r="836" spans="1:11" ht="21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</row>
    <row r="837" spans="1:11" ht="21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</row>
    <row r="838" spans="1:11" ht="21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</row>
    <row r="839" spans="1:11" ht="21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</row>
    <row r="840" spans="1:11" ht="21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</row>
    <row r="841" spans="1:11" ht="21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</row>
    <row r="842" spans="1:11" ht="21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</row>
    <row r="843" spans="1:11" ht="21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</row>
    <row r="844" spans="1:11" ht="21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</row>
    <row r="845" spans="1:11" ht="21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</row>
    <row r="846" spans="1:11" ht="21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</row>
    <row r="847" spans="1:11" ht="21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</row>
    <row r="848" spans="1:11" ht="21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</row>
    <row r="849" spans="1:11" ht="21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</row>
    <row r="850" spans="1:11" ht="21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</row>
    <row r="851" spans="1:11" ht="21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</row>
    <row r="852" spans="1:11" ht="21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</row>
    <row r="853" spans="1:11" ht="21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</row>
    <row r="854" spans="1:11" ht="21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</row>
    <row r="855" spans="1:11" ht="21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</row>
    <row r="856" spans="1:11" ht="21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</row>
    <row r="857" spans="1:11" ht="21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</row>
    <row r="858" spans="1:11" ht="21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</row>
    <row r="859" spans="1:11" ht="21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</row>
    <row r="860" spans="1:11" ht="21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</row>
    <row r="861" spans="1:11" ht="21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</row>
    <row r="862" spans="1:11" ht="21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</row>
    <row r="863" spans="1:11" ht="21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</row>
    <row r="864" spans="1:11" ht="21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</row>
    <row r="865" spans="1:11" ht="21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</row>
    <row r="866" spans="1:11" ht="21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</row>
    <row r="867" spans="1:11" ht="21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</row>
    <row r="868" spans="1:11" ht="21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</row>
    <row r="869" spans="1:11" ht="21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</row>
    <row r="870" spans="1:11" ht="21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</row>
    <row r="871" spans="1:11" ht="21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</row>
    <row r="872" spans="1:11" ht="21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</row>
    <row r="873" spans="1:11" ht="21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</row>
    <row r="874" spans="1:11" ht="21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</row>
    <row r="875" spans="1:11" ht="21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</row>
    <row r="876" spans="1:11" ht="21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</row>
    <row r="877" spans="1:11" ht="21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</row>
    <row r="878" spans="1:11" ht="21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</row>
    <row r="879" spans="1:11" ht="21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</row>
    <row r="880" spans="1:11" ht="21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</row>
    <row r="881" spans="1:11" ht="21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</row>
    <row r="882" spans="1:11" ht="21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</row>
    <row r="883" spans="1:11" ht="21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</row>
    <row r="884" spans="1:11" ht="21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</row>
    <row r="885" spans="1:11" ht="21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</row>
    <row r="886" spans="1:11" ht="21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</row>
    <row r="887" spans="1:11" ht="21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</row>
    <row r="888" spans="1:11" ht="21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</row>
    <row r="889" spans="1:11" ht="21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</row>
    <row r="890" spans="1:11" ht="21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</row>
    <row r="891" spans="1:11" ht="21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</row>
    <row r="892" spans="1:11" ht="21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</row>
    <row r="893" spans="1:11" ht="21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</row>
    <row r="894" spans="1:11" ht="21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</row>
    <row r="895" spans="1:11" ht="21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</row>
    <row r="896" spans="1:11" ht="21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</row>
    <row r="897" spans="1:11" ht="21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</row>
    <row r="898" spans="1:11" ht="21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</row>
    <row r="899" spans="1:11" ht="21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</row>
    <row r="900" spans="1:11" ht="21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</row>
    <row r="901" spans="1:11" ht="21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</row>
    <row r="902" spans="1:11" ht="21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</row>
    <row r="903" spans="1:11" ht="21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</row>
    <row r="904" spans="1:11" ht="21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</row>
    <row r="905" spans="1:11" ht="21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</row>
    <row r="906" spans="1:11" ht="21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</row>
    <row r="907" spans="1:11" ht="21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</row>
    <row r="908" spans="1:11" ht="21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</row>
    <row r="909" spans="1:11" ht="21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</row>
    <row r="910" spans="1:11" ht="21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</row>
    <row r="911" spans="1:11" ht="21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</row>
    <row r="912" spans="1:11" ht="21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</row>
    <row r="913" spans="1:11" ht="21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</row>
    <row r="914" spans="1:11" ht="21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</row>
    <row r="915" spans="1:11" ht="21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</row>
    <row r="916" spans="1:11" ht="21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</row>
    <row r="917" spans="1:11" ht="21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</row>
    <row r="918" spans="1:11" ht="21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</row>
    <row r="919" spans="1:11" ht="21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</row>
    <row r="920" spans="1:11" ht="21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</row>
    <row r="921" spans="1:11" ht="21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</row>
    <row r="922" spans="1:11" ht="21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</row>
    <row r="923" spans="1:11" ht="21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</row>
    <row r="924" spans="1:11" ht="21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</row>
    <row r="925" spans="1:11" ht="21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</row>
    <row r="926" spans="1:11" ht="21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</row>
    <row r="927" spans="1:11" ht="21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</row>
    <row r="928" spans="1:11" ht="21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</row>
    <row r="929" spans="1:11" ht="21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</row>
    <row r="930" spans="1:11" ht="21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</row>
    <row r="931" spans="1:11" ht="21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</row>
    <row r="932" spans="1:11" ht="21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</row>
    <row r="933" spans="1:11" ht="21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</row>
    <row r="934" spans="1:11" ht="21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</row>
    <row r="935" spans="1:11" ht="21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</row>
    <row r="936" spans="1:11" ht="21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</row>
    <row r="937" spans="1:11" ht="21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</row>
    <row r="938" spans="1:11" ht="21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</row>
    <row r="939" spans="1:11" ht="21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</row>
    <row r="940" spans="1:11" ht="21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</row>
    <row r="941" spans="1:11" ht="21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</row>
    <row r="942" spans="1:11" ht="21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</row>
    <row r="943" spans="1:11" ht="21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</row>
    <row r="944" spans="1:11" ht="21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</row>
    <row r="945" spans="1:11" ht="21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</row>
    <row r="946" spans="1:11" ht="21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</row>
    <row r="947" spans="1:11" ht="21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</row>
    <row r="948" spans="1:11" ht="21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</row>
    <row r="949" spans="1:11" ht="21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</row>
    <row r="950" spans="1:11" ht="21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</row>
    <row r="951" spans="1:11" ht="21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</row>
    <row r="952" spans="1:11" ht="21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</row>
    <row r="953" spans="1:11" ht="21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</row>
    <row r="954" spans="1:11" ht="21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</row>
    <row r="955" spans="1:11" ht="21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</row>
    <row r="956" spans="1:11" ht="21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</row>
    <row r="957" spans="1:11" ht="21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</row>
    <row r="958" spans="1:11" ht="21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</row>
    <row r="959" spans="1:11" ht="21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</row>
    <row r="960" spans="1:11" ht="21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</row>
    <row r="961" spans="1:11" ht="21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</row>
    <row r="962" spans="1:11" ht="21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</row>
    <row r="963" spans="1:11" ht="21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</row>
    <row r="964" spans="1:11" ht="21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</row>
    <row r="965" spans="1:11" ht="21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</row>
    <row r="966" spans="1:11" ht="21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</row>
    <row r="967" spans="1:11" ht="21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</row>
    <row r="968" spans="1:11" ht="21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</row>
    <row r="969" spans="1:11" ht="21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</row>
    <row r="970" spans="1:11" ht="21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</row>
    <row r="971" spans="1:11" ht="21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</row>
    <row r="972" spans="1:11" ht="21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</row>
    <row r="973" spans="1:11" ht="21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</row>
    <row r="974" spans="1:11" ht="21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</row>
    <row r="975" spans="1:11" ht="21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</row>
    <row r="976" spans="1:11" ht="21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</row>
    <row r="977" spans="1:11" ht="21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</row>
    <row r="978" spans="1:11" ht="21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</row>
    <row r="979" spans="1:11" ht="21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</row>
    <row r="980" spans="1:11" ht="21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</row>
    <row r="981" spans="1:11" ht="21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</row>
    <row r="982" spans="1:11" ht="21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</row>
    <row r="983" spans="1:11" ht="21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</row>
    <row r="984" spans="1:11" ht="21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</row>
    <row r="985" spans="1:11" ht="21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</row>
    <row r="986" spans="1:11" ht="21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</row>
    <row r="987" spans="1:11" ht="21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</row>
    <row r="988" spans="1:11" ht="21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</row>
    <row r="989" spans="1:11" ht="21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</row>
    <row r="990" spans="1:11" ht="21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</row>
    <row r="991" spans="1:11" ht="21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</row>
    <row r="992" spans="1:11" ht="21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</row>
    <row r="993" spans="1:11" ht="21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</row>
  </sheetData>
  <mergeCells count="2">
    <mergeCell ref="C62:D62"/>
    <mergeCell ref="E62:H62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9" sqref="D9"/>
    </sheetView>
  </sheetViews>
  <sheetFormatPr baseColWidth="10" defaultColWidth="12.6640625" defaultRowHeight="15" customHeight="1"/>
  <cols>
    <col min="1" max="1" width="47.6640625" customWidth="1"/>
    <col min="2" max="2" width="123" customWidth="1"/>
    <col min="3" max="4" width="47.6640625" customWidth="1"/>
    <col min="5" max="5" width="20" customWidth="1"/>
    <col min="6" max="6" width="22" customWidth="1"/>
    <col min="7" max="7" width="26" customWidth="1"/>
    <col min="8" max="8" width="54" customWidth="1"/>
    <col min="9" max="26" width="8.83203125" customWidth="1"/>
  </cols>
  <sheetData>
    <row r="1" spans="1:8">
      <c r="A1" s="349" t="s">
        <v>399</v>
      </c>
      <c r="B1" s="350"/>
      <c r="C1" s="350"/>
      <c r="D1" s="350"/>
      <c r="E1" s="350"/>
      <c r="F1" s="350"/>
      <c r="G1" s="350"/>
      <c r="H1" s="351"/>
    </row>
    <row r="3" spans="1:8" ht="21">
      <c r="A3" s="89" t="s">
        <v>120</v>
      </c>
      <c r="B3" s="89" t="s">
        <v>121</v>
      </c>
      <c r="C3" s="89" t="s">
        <v>122</v>
      </c>
      <c r="D3" s="89" t="s">
        <v>123</v>
      </c>
      <c r="E3" s="89" t="s">
        <v>124</v>
      </c>
      <c r="F3" s="89" t="s">
        <v>125</v>
      </c>
      <c r="G3" s="89" t="s">
        <v>126</v>
      </c>
      <c r="H3" s="89" t="s">
        <v>127</v>
      </c>
    </row>
    <row r="4" spans="1:8" ht="21">
      <c r="A4" s="77" t="s">
        <v>128</v>
      </c>
      <c r="B4" s="77" t="s">
        <v>400</v>
      </c>
      <c r="C4" s="77" t="s">
        <v>133</v>
      </c>
      <c r="D4" s="90">
        <v>6824581339</v>
      </c>
      <c r="E4" s="77" t="s">
        <v>130</v>
      </c>
      <c r="F4" s="77" t="s">
        <v>130</v>
      </c>
      <c r="G4" s="77" t="s">
        <v>131</v>
      </c>
      <c r="H4" s="77" t="s">
        <v>401</v>
      </c>
    </row>
    <row r="5" spans="1:8" ht="21">
      <c r="A5" s="77" t="s">
        <v>128</v>
      </c>
      <c r="B5" s="77" t="s">
        <v>402</v>
      </c>
      <c r="C5" s="77" t="s">
        <v>129</v>
      </c>
      <c r="D5" s="90">
        <v>5695729430</v>
      </c>
      <c r="E5" s="77" t="s">
        <v>130</v>
      </c>
      <c r="F5" s="77" t="s">
        <v>130</v>
      </c>
      <c r="G5" s="77" t="s">
        <v>131</v>
      </c>
      <c r="H5" s="77" t="s">
        <v>401</v>
      </c>
    </row>
    <row r="6" spans="1:8" ht="21">
      <c r="A6" s="77" t="s">
        <v>128</v>
      </c>
      <c r="B6" s="77" t="s">
        <v>403</v>
      </c>
      <c r="C6" s="77" t="s">
        <v>133</v>
      </c>
      <c r="D6" s="90">
        <v>0</v>
      </c>
      <c r="E6" s="77" t="s">
        <v>130</v>
      </c>
      <c r="F6" s="77" t="s">
        <v>130</v>
      </c>
      <c r="G6" s="77" t="s">
        <v>256</v>
      </c>
      <c r="H6" s="77" t="s">
        <v>404</v>
      </c>
    </row>
    <row r="7" spans="1:8" ht="21">
      <c r="A7" s="77" t="s">
        <v>132</v>
      </c>
      <c r="B7" s="77" t="s">
        <v>255</v>
      </c>
      <c r="C7" s="77" t="s">
        <v>133</v>
      </c>
      <c r="D7" s="91"/>
      <c r="E7" s="47" t="s">
        <v>130</v>
      </c>
      <c r="F7" s="47" t="s">
        <v>130</v>
      </c>
      <c r="G7" s="47" t="s">
        <v>134</v>
      </c>
      <c r="H7" s="47" t="s">
        <v>405</v>
      </c>
    </row>
    <row r="8" spans="1:8" ht="21">
      <c r="A8" s="77" t="s">
        <v>132</v>
      </c>
      <c r="B8" s="77" t="s">
        <v>406</v>
      </c>
      <c r="C8" s="77" t="s">
        <v>133</v>
      </c>
      <c r="D8" s="91"/>
      <c r="E8" s="47" t="s">
        <v>130</v>
      </c>
      <c r="F8" s="47" t="s">
        <v>130</v>
      </c>
      <c r="G8" s="47" t="s">
        <v>134</v>
      </c>
      <c r="H8" s="47" t="s">
        <v>407</v>
      </c>
    </row>
    <row r="9" spans="1:8" ht="21">
      <c r="A9" s="77" t="s">
        <v>135</v>
      </c>
      <c r="B9" s="77" t="s">
        <v>408</v>
      </c>
      <c r="C9" s="77" t="s">
        <v>409</v>
      </c>
      <c r="D9" s="90">
        <v>934000000</v>
      </c>
      <c r="E9" s="77" t="s">
        <v>130</v>
      </c>
      <c r="F9" s="77" t="s">
        <v>130</v>
      </c>
      <c r="G9" s="77" t="s">
        <v>131</v>
      </c>
      <c r="H9" s="77" t="s">
        <v>410</v>
      </c>
    </row>
    <row r="10" spans="1:8" ht="21">
      <c r="A10" s="77" t="s">
        <v>135</v>
      </c>
      <c r="B10" s="77" t="s">
        <v>411</v>
      </c>
      <c r="C10" s="77" t="s">
        <v>409</v>
      </c>
      <c r="D10" s="90">
        <v>129000000</v>
      </c>
      <c r="E10" s="77" t="s">
        <v>130</v>
      </c>
      <c r="F10" s="77" t="s">
        <v>130</v>
      </c>
      <c r="G10" s="77" t="s">
        <v>131</v>
      </c>
      <c r="H10" s="77" t="s">
        <v>410</v>
      </c>
    </row>
    <row r="11" spans="1:8" ht="21">
      <c r="A11" s="77" t="s">
        <v>135</v>
      </c>
      <c r="B11" s="77" t="s">
        <v>412</v>
      </c>
      <c r="C11" s="77" t="s">
        <v>129</v>
      </c>
      <c r="D11" s="91">
        <v>1319100000</v>
      </c>
      <c r="E11" s="47" t="s">
        <v>130</v>
      </c>
      <c r="F11" s="47" t="s">
        <v>130</v>
      </c>
      <c r="G11" s="47" t="s">
        <v>131</v>
      </c>
      <c r="H11" s="47" t="s">
        <v>413</v>
      </c>
    </row>
    <row r="12" spans="1:8" ht="21">
      <c r="A12" s="77" t="s">
        <v>135</v>
      </c>
      <c r="B12" s="77" t="s">
        <v>414</v>
      </c>
      <c r="C12" s="77" t="s">
        <v>129</v>
      </c>
      <c r="D12" s="90">
        <v>0</v>
      </c>
      <c r="E12" s="77" t="s">
        <v>130</v>
      </c>
      <c r="F12" s="77" t="s">
        <v>130</v>
      </c>
      <c r="G12" s="77" t="s">
        <v>415</v>
      </c>
      <c r="H12" s="77" t="s">
        <v>416</v>
      </c>
    </row>
    <row r="13" spans="1:8" ht="21">
      <c r="A13" s="77" t="s">
        <v>136</v>
      </c>
      <c r="B13" s="77" t="s">
        <v>417</v>
      </c>
      <c r="C13" s="77" t="s">
        <v>133</v>
      </c>
      <c r="D13" s="90">
        <v>261800000</v>
      </c>
      <c r="E13" s="77" t="s">
        <v>137</v>
      </c>
      <c r="F13" s="77" t="s">
        <v>130</v>
      </c>
      <c r="G13" s="77" t="s">
        <v>131</v>
      </c>
      <c r="H13" s="77" t="s">
        <v>418</v>
      </c>
    </row>
    <row r="14" spans="1:8" ht="21">
      <c r="A14" s="77" t="s">
        <v>136</v>
      </c>
      <c r="B14" s="77" t="s">
        <v>419</v>
      </c>
      <c r="C14" s="77" t="s">
        <v>133</v>
      </c>
      <c r="D14" s="90">
        <v>0</v>
      </c>
      <c r="E14" s="77" t="s">
        <v>137</v>
      </c>
      <c r="F14" s="77" t="s">
        <v>137</v>
      </c>
      <c r="G14" s="77" t="s">
        <v>420</v>
      </c>
      <c r="H14" s="77" t="s">
        <v>421</v>
      </c>
    </row>
    <row r="15" spans="1:8" ht="21">
      <c r="A15" s="77" t="s">
        <v>136</v>
      </c>
      <c r="B15" s="77"/>
      <c r="C15" s="77"/>
      <c r="D15" s="90"/>
      <c r="E15" s="77" t="s">
        <v>137</v>
      </c>
      <c r="F15" s="77" t="s">
        <v>137</v>
      </c>
      <c r="G15" s="77"/>
      <c r="H15" s="77"/>
    </row>
    <row r="16" spans="1:8" ht="21">
      <c r="A16" s="77" t="s">
        <v>136</v>
      </c>
      <c r="B16" s="77"/>
      <c r="C16" s="77"/>
      <c r="D16" s="90"/>
      <c r="E16" s="77" t="s">
        <v>137</v>
      </c>
      <c r="F16" s="77" t="s">
        <v>137</v>
      </c>
      <c r="G16" s="77"/>
      <c r="H16" s="77"/>
    </row>
    <row r="17" spans="1:8" ht="21">
      <c r="A17" s="77" t="s">
        <v>138</v>
      </c>
      <c r="B17" s="77" t="s">
        <v>422</v>
      </c>
      <c r="C17" s="77" t="s">
        <v>423</v>
      </c>
      <c r="D17" s="91">
        <v>500000000</v>
      </c>
      <c r="E17" s="47" t="s">
        <v>130</v>
      </c>
      <c r="F17" s="47" t="s">
        <v>130</v>
      </c>
      <c r="G17" s="47" t="s">
        <v>131</v>
      </c>
      <c r="H17" s="47" t="s">
        <v>416</v>
      </c>
    </row>
    <row r="18" spans="1:8" ht="21">
      <c r="A18" s="77" t="s">
        <v>138</v>
      </c>
      <c r="B18" s="77" t="s">
        <v>424</v>
      </c>
      <c r="C18" s="77" t="s">
        <v>133</v>
      </c>
      <c r="D18" s="91">
        <v>75000000</v>
      </c>
      <c r="E18" s="47" t="s">
        <v>130</v>
      </c>
      <c r="F18" s="47" t="s">
        <v>130</v>
      </c>
      <c r="G18" s="47" t="s">
        <v>131</v>
      </c>
      <c r="H18" s="47" t="s">
        <v>416</v>
      </c>
    </row>
    <row r="19" spans="1:8" ht="21">
      <c r="A19" s="77" t="s">
        <v>138</v>
      </c>
      <c r="B19" s="77" t="s">
        <v>425</v>
      </c>
      <c r="C19" s="77" t="s">
        <v>133</v>
      </c>
      <c r="D19" s="91">
        <v>0</v>
      </c>
      <c r="E19" s="47" t="s">
        <v>130</v>
      </c>
      <c r="F19" s="47" t="s">
        <v>130</v>
      </c>
      <c r="G19" s="47" t="s">
        <v>257</v>
      </c>
      <c r="H19" s="47"/>
    </row>
    <row r="20" spans="1:8" ht="21">
      <c r="A20" s="77" t="s">
        <v>138</v>
      </c>
      <c r="B20" s="77"/>
      <c r="C20" s="77"/>
      <c r="D20" s="91">
        <v>0</v>
      </c>
      <c r="E20" s="47" t="s">
        <v>137</v>
      </c>
      <c r="F20" s="47" t="s">
        <v>137</v>
      </c>
      <c r="G20" s="47"/>
      <c r="H20" s="47"/>
    </row>
    <row r="21" spans="1:8" ht="15.75" customHeight="1">
      <c r="A21" s="77"/>
      <c r="B21" s="77"/>
      <c r="C21" s="77"/>
      <c r="D21" s="90"/>
      <c r="E21" s="77"/>
      <c r="F21" s="77"/>
      <c r="G21" s="77"/>
      <c r="H21" s="77"/>
    </row>
    <row r="22" spans="1:8" ht="15.75" customHeight="1">
      <c r="A22" s="77"/>
      <c r="B22" s="77"/>
      <c r="C22" s="77"/>
      <c r="D22" s="90"/>
      <c r="E22" s="77"/>
      <c r="F22" s="77"/>
      <c r="G22" s="77"/>
      <c r="H22" s="77"/>
    </row>
    <row r="23" spans="1:8" ht="15.75" customHeight="1">
      <c r="A23" s="92" t="s">
        <v>139</v>
      </c>
      <c r="B23" s="92" t="s">
        <v>140</v>
      </c>
      <c r="C23" s="92" t="s">
        <v>123</v>
      </c>
      <c r="D23" s="93" t="s">
        <v>141</v>
      </c>
      <c r="E23" s="77"/>
      <c r="F23" s="77"/>
      <c r="G23" s="77"/>
      <c r="H23" s="77"/>
    </row>
    <row r="24" spans="1:8" ht="15.75" customHeight="1">
      <c r="A24" s="94" t="s">
        <v>142</v>
      </c>
      <c r="B24" s="94" t="s">
        <v>143</v>
      </c>
      <c r="C24" s="95">
        <f>SUM(D4:D6)</f>
        <v>12520310769</v>
      </c>
      <c r="D24" s="96" t="s">
        <v>144</v>
      </c>
      <c r="E24" s="77"/>
      <c r="F24" s="77"/>
      <c r="G24" s="77"/>
      <c r="H24" s="77"/>
    </row>
    <row r="25" spans="1:8" ht="15.75" customHeight="1">
      <c r="A25" s="94" t="s">
        <v>145</v>
      </c>
      <c r="B25" s="94" t="s">
        <v>146</v>
      </c>
      <c r="C25" s="95">
        <f>SUMIF(E4:E20,"Y",D4:D20)</f>
        <v>15477410769</v>
      </c>
      <c r="D25" s="96" t="s">
        <v>258</v>
      </c>
      <c r="E25" s="77"/>
      <c r="F25" s="77"/>
      <c r="G25" s="77"/>
      <c r="H25" s="77"/>
    </row>
    <row r="26" spans="1:8" ht="15.75" customHeight="1">
      <c r="A26" s="94" t="s">
        <v>147</v>
      </c>
      <c r="B26" s="94" t="s">
        <v>148</v>
      </c>
      <c r="C26" s="95">
        <f>SUMIF(F4:F20,"Y",D4:D20)</f>
        <v>15739210769</v>
      </c>
      <c r="D26" s="96" t="s">
        <v>254</v>
      </c>
      <c r="E26" s="77"/>
      <c r="F26" s="77"/>
      <c r="G26" s="77"/>
      <c r="H26" s="77"/>
    </row>
    <row r="27" spans="1:8" ht="15.75" customHeight="1">
      <c r="A27" s="94" t="s">
        <v>149</v>
      </c>
      <c r="B27" s="94" t="s">
        <v>150</v>
      </c>
      <c r="C27" s="94">
        <f>COUNTIFS(G4:G20,"blank",F4:F20,"Y")+COUNTIFS(G4:G20,"future recycling",F4:F20,"Y")</f>
        <v>2</v>
      </c>
      <c r="D27" s="96" t="s">
        <v>259</v>
      </c>
      <c r="E27" s="77"/>
      <c r="F27" s="77"/>
      <c r="G27" s="77"/>
      <c r="H27" s="77"/>
    </row>
    <row r="28" spans="1:8" ht="15.75" customHeight="1">
      <c r="D28" s="97"/>
    </row>
    <row r="29" spans="1:8" ht="15.75" customHeight="1">
      <c r="D29" s="97"/>
    </row>
    <row r="30" spans="1:8" ht="15.75" customHeight="1">
      <c r="D30" s="97"/>
    </row>
    <row r="31" spans="1:8" ht="15.75" customHeight="1">
      <c r="D31" s="97"/>
    </row>
    <row r="32" spans="1:8" ht="15.75" customHeight="1">
      <c r="D32" s="97"/>
    </row>
    <row r="33" spans="4:4" ht="15.75" customHeight="1">
      <c r="D33" s="97"/>
    </row>
    <row r="34" spans="4:4" ht="15.75" customHeight="1">
      <c r="D34" s="97"/>
    </row>
    <row r="35" spans="4:4" ht="15.75" customHeight="1">
      <c r="D35" s="97"/>
    </row>
    <row r="36" spans="4:4" ht="15.75" customHeight="1">
      <c r="D36" s="97"/>
    </row>
    <row r="37" spans="4:4" ht="15.75" customHeight="1">
      <c r="D37" s="97"/>
    </row>
    <row r="38" spans="4:4" ht="15.75" customHeight="1">
      <c r="D38" s="97"/>
    </row>
    <row r="39" spans="4:4" ht="15.75" customHeight="1">
      <c r="D39" s="97"/>
    </row>
    <row r="40" spans="4:4" ht="15.75" customHeight="1">
      <c r="D40" s="97"/>
    </row>
    <row r="41" spans="4:4" ht="15.75" customHeight="1">
      <c r="D41" s="97"/>
    </row>
    <row r="42" spans="4:4" ht="15.75" customHeight="1">
      <c r="D42" s="97"/>
    </row>
    <row r="43" spans="4:4" ht="15.75" customHeight="1">
      <c r="D43" s="97"/>
    </row>
    <row r="44" spans="4:4" ht="15.75" customHeight="1">
      <c r="D44" s="97"/>
    </row>
    <row r="45" spans="4:4" ht="15.75" customHeight="1">
      <c r="D45" s="97"/>
    </row>
    <row r="46" spans="4:4" ht="15.75" customHeight="1">
      <c r="D46" s="97"/>
    </row>
    <row r="47" spans="4:4" ht="15.75" customHeight="1">
      <c r="D47" s="97"/>
    </row>
    <row r="48" spans="4:4" ht="15.75" customHeight="1">
      <c r="D48" s="97"/>
    </row>
    <row r="49" spans="4:4" ht="15.75" customHeight="1">
      <c r="D49" s="97"/>
    </row>
    <row r="50" spans="4:4" ht="15.75" customHeight="1">
      <c r="D50" s="97"/>
    </row>
    <row r="51" spans="4:4" ht="15.75" customHeight="1">
      <c r="D51" s="97"/>
    </row>
    <row r="52" spans="4:4" ht="15.75" customHeight="1">
      <c r="D52" s="97"/>
    </row>
    <row r="53" spans="4:4" ht="15.75" customHeight="1">
      <c r="D53" s="97"/>
    </row>
    <row r="54" spans="4:4" ht="15.75" customHeight="1">
      <c r="D54" s="97"/>
    </row>
    <row r="55" spans="4:4" ht="15.75" customHeight="1">
      <c r="D55" s="97"/>
    </row>
    <row r="56" spans="4:4" ht="15.75" customHeight="1">
      <c r="D56" s="97"/>
    </row>
    <row r="57" spans="4:4" ht="15.75" customHeight="1">
      <c r="D57" s="97"/>
    </row>
    <row r="58" spans="4:4" ht="15.75" customHeight="1">
      <c r="D58" s="97"/>
    </row>
    <row r="59" spans="4:4" ht="15.75" customHeight="1">
      <c r="D59" s="97"/>
    </row>
    <row r="60" spans="4:4" ht="15.75" customHeight="1">
      <c r="D60" s="97"/>
    </row>
    <row r="61" spans="4:4" ht="15.75" customHeight="1">
      <c r="D61" s="97"/>
    </row>
    <row r="62" spans="4:4" ht="15.75" customHeight="1">
      <c r="D62" s="97"/>
    </row>
    <row r="63" spans="4:4" ht="15.75" customHeight="1">
      <c r="D63" s="97"/>
    </row>
    <row r="64" spans="4:4" ht="15.75" customHeight="1">
      <c r="D64" s="97"/>
    </row>
    <row r="65" spans="4:4" ht="15.75" customHeight="1">
      <c r="D65" s="97"/>
    </row>
    <row r="66" spans="4:4" ht="15.75" customHeight="1">
      <c r="D66" s="97"/>
    </row>
    <row r="67" spans="4:4" ht="15.75" customHeight="1">
      <c r="D67" s="97"/>
    </row>
    <row r="68" spans="4:4" ht="15.75" customHeight="1">
      <c r="D68" s="97"/>
    </row>
    <row r="69" spans="4:4" ht="15.75" customHeight="1">
      <c r="D69" s="97"/>
    </row>
    <row r="70" spans="4:4" ht="15.75" customHeight="1">
      <c r="D70" s="97"/>
    </row>
    <row r="71" spans="4:4" ht="15.75" customHeight="1">
      <c r="D71" s="97"/>
    </row>
    <row r="72" spans="4:4" ht="15.75" customHeight="1">
      <c r="D72" s="97"/>
    </row>
    <row r="73" spans="4:4" ht="15.75" customHeight="1">
      <c r="D73" s="97"/>
    </row>
    <row r="74" spans="4:4" ht="15.75" customHeight="1">
      <c r="D74" s="97"/>
    </row>
    <row r="75" spans="4:4" ht="15.75" customHeight="1">
      <c r="D75" s="97"/>
    </row>
    <row r="76" spans="4:4" ht="15.75" customHeight="1">
      <c r="D76" s="97"/>
    </row>
    <row r="77" spans="4:4" ht="15.75" customHeight="1">
      <c r="D77" s="97"/>
    </row>
    <row r="78" spans="4:4" ht="15.75" customHeight="1">
      <c r="D78" s="97"/>
    </row>
    <row r="79" spans="4:4" ht="15.75" customHeight="1">
      <c r="D79" s="97"/>
    </row>
    <row r="80" spans="4:4" ht="15.75" customHeight="1">
      <c r="D80" s="97"/>
    </row>
    <row r="81" spans="4:4" ht="15.75" customHeight="1">
      <c r="D81" s="97"/>
    </row>
    <row r="82" spans="4:4" ht="15.75" customHeight="1">
      <c r="D82" s="97"/>
    </row>
    <row r="83" spans="4:4" ht="15.75" customHeight="1">
      <c r="D83" s="97"/>
    </row>
    <row r="84" spans="4:4" ht="15.75" customHeight="1">
      <c r="D84" s="97"/>
    </row>
    <row r="85" spans="4:4" ht="15.75" customHeight="1">
      <c r="D85" s="97"/>
    </row>
    <row r="86" spans="4:4" ht="15.75" customHeight="1">
      <c r="D86" s="97"/>
    </row>
    <row r="87" spans="4:4" ht="15.75" customHeight="1">
      <c r="D87" s="97"/>
    </row>
    <row r="88" spans="4:4" ht="15.75" customHeight="1">
      <c r="D88" s="97"/>
    </row>
    <row r="89" spans="4:4" ht="15.75" customHeight="1">
      <c r="D89" s="97"/>
    </row>
    <row r="90" spans="4:4" ht="15.75" customHeight="1">
      <c r="D90" s="97"/>
    </row>
    <row r="91" spans="4:4" ht="15.75" customHeight="1">
      <c r="D91" s="97"/>
    </row>
    <row r="92" spans="4:4" ht="15.75" customHeight="1">
      <c r="D92" s="97"/>
    </row>
    <row r="93" spans="4:4" ht="15.75" customHeight="1">
      <c r="D93" s="97"/>
    </row>
    <row r="94" spans="4:4" ht="15.75" customHeight="1">
      <c r="D94" s="97"/>
    </row>
    <row r="95" spans="4:4" ht="15.75" customHeight="1">
      <c r="D95" s="97"/>
    </row>
    <row r="96" spans="4:4" ht="15.75" customHeight="1">
      <c r="D96" s="97"/>
    </row>
    <row r="97" spans="4:4" ht="15.75" customHeight="1">
      <c r="D97" s="97"/>
    </row>
    <row r="98" spans="4:4" ht="15.75" customHeight="1">
      <c r="D98" s="97"/>
    </row>
    <row r="99" spans="4:4" ht="15.75" customHeight="1">
      <c r="D99" s="97"/>
    </row>
    <row r="100" spans="4:4" ht="15.75" customHeight="1">
      <c r="D100" s="97"/>
    </row>
    <row r="101" spans="4:4" ht="15.75" customHeight="1"/>
    <row r="102" spans="4:4" ht="15.75" customHeight="1"/>
    <row r="103" spans="4:4" ht="15.75" customHeight="1"/>
    <row r="104" spans="4:4" ht="15.75" customHeight="1"/>
    <row r="105" spans="4:4" ht="15.75" customHeight="1"/>
    <row r="106" spans="4:4" ht="15.75" customHeight="1"/>
    <row r="107" spans="4:4" ht="15.75" customHeight="1"/>
    <row r="108" spans="4:4" ht="15.75" customHeight="1"/>
    <row r="109" spans="4:4" ht="15.75" customHeight="1"/>
    <row r="110" spans="4:4" ht="15.75" customHeight="1"/>
    <row r="111" spans="4:4" ht="15.75" customHeight="1"/>
    <row r="112" spans="4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opLeftCell="A69" workbookViewId="0">
      <selection activeCell="D10" sqref="D10"/>
    </sheetView>
  </sheetViews>
  <sheetFormatPr baseColWidth="10" defaultColWidth="12.6640625" defaultRowHeight="15" customHeight="1"/>
  <cols>
    <col min="1" max="1" width="24" customWidth="1"/>
    <col min="2" max="2" width="54" customWidth="1"/>
    <col min="3" max="3" width="14" customWidth="1"/>
    <col min="4" max="5" width="16" customWidth="1"/>
    <col min="6" max="6" width="18" customWidth="1"/>
    <col min="7" max="7" width="14" customWidth="1"/>
    <col min="8" max="8" width="60" customWidth="1"/>
    <col min="9" max="26" width="8.83203125" customWidth="1"/>
  </cols>
  <sheetData>
    <row r="1" spans="1:8">
      <c r="A1" s="349" t="s">
        <v>438</v>
      </c>
      <c r="B1" s="350"/>
      <c r="C1" s="350"/>
      <c r="D1" s="350"/>
      <c r="E1" s="350"/>
      <c r="F1" s="350"/>
      <c r="G1" s="350"/>
      <c r="H1" s="351"/>
    </row>
    <row r="3" spans="1:8">
      <c r="A3" s="98" t="s">
        <v>151</v>
      </c>
      <c r="B3" s="98" t="s">
        <v>152</v>
      </c>
      <c r="C3" s="98" t="s">
        <v>153</v>
      </c>
      <c r="D3" s="148" t="s">
        <v>36</v>
      </c>
      <c r="E3" s="148" t="s">
        <v>35</v>
      </c>
      <c r="F3" s="98" t="s">
        <v>430</v>
      </c>
      <c r="G3" s="98" t="s">
        <v>439</v>
      </c>
      <c r="H3" s="98" t="s">
        <v>127</v>
      </c>
    </row>
    <row r="4" spans="1:8">
      <c r="A4" s="99" t="s">
        <v>154</v>
      </c>
      <c r="B4" s="99" t="s">
        <v>267</v>
      </c>
      <c r="C4" s="99" t="s">
        <v>155</v>
      </c>
      <c r="D4" s="100">
        <v>1510000</v>
      </c>
      <c r="E4" s="100">
        <v>1470000</v>
      </c>
      <c r="F4" s="100">
        <v>1093000</v>
      </c>
      <c r="G4" s="101">
        <f>IFERROR(D4/E4-1,"n.m.")</f>
        <v>2.7210884353741527E-2</v>
      </c>
      <c r="H4" s="99" t="s">
        <v>156</v>
      </c>
    </row>
    <row r="5" spans="1:8">
      <c r="A5" s="99" t="s">
        <v>154</v>
      </c>
      <c r="B5" s="99" t="s">
        <v>268</v>
      </c>
      <c r="C5" s="99" t="s">
        <v>155</v>
      </c>
      <c r="D5" s="100">
        <f>D6-D4</f>
        <v>17164000</v>
      </c>
      <c r="E5" s="100">
        <f>E6-E4</f>
        <v>12545000</v>
      </c>
      <c r="F5" s="100">
        <f>F6-F4</f>
        <v>9294000</v>
      </c>
      <c r="G5" s="101">
        <f>IFERROR(D5/E5-1,"n.m.")</f>
        <v>0.36819449980071739</v>
      </c>
      <c r="H5" s="99" t="s">
        <v>156</v>
      </c>
    </row>
    <row r="6" spans="1:8">
      <c r="A6" s="99" t="s">
        <v>154</v>
      </c>
      <c r="B6" s="99" t="s">
        <v>157</v>
      </c>
      <c r="C6" s="99" t="s">
        <v>155</v>
      </c>
      <c r="D6" s="100">
        <v>18674000</v>
      </c>
      <c r="E6" s="100">
        <v>14015000</v>
      </c>
      <c r="F6" s="100">
        <v>10387000</v>
      </c>
      <c r="G6" s="101">
        <f>IFERROR(D6/E6-1,"n.m.")</f>
        <v>0.3324295397788084</v>
      </c>
      <c r="H6" s="99" t="s">
        <v>156</v>
      </c>
    </row>
    <row r="7" spans="1:8">
      <c r="A7" s="99" t="s">
        <v>154</v>
      </c>
      <c r="B7" s="99" t="s">
        <v>269</v>
      </c>
      <c r="C7" s="99" t="s">
        <v>155</v>
      </c>
      <c r="D7" s="100"/>
      <c r="E7" s="100"/>
      <c r="F7" s="100">
        <f t="shared" ref="F7:F90" si="0">D7-E7</f>
        <v>0</v>
      </c>
      <c r="G7" s="101" t="s">
        <v>440</v>
      </c>
      <c r="H7" s="99" t="s">
        <v>156</v>
      </c>
    </row>
    <row r="8" spans="1:8">
      <c r="A8" s="99" t="s">
        <v>154</v>
      </c>
      <c r="B8" s="99" t="s">
        <v>270</v>
      </c>
      <c r="C8" s="99" t="s">
        <v>155</v>
      </c>
      <c r="D8" s="100"/>
      <c r="E8" s="100"/>
      <c r="F8" s="100">
        <f t="shared" si="0"/>
        <v>0</v>
      </c>
      <c r="G8" s="101" t="s">
        <v>440</v>
      </c>
      <c r="H8" s="99" t="s">
        <v>156</v>
      </c>
    </row>
    <row r="9" spans="1:8">
      <c r="A9" s="99" t="s">
        <v>154</v>
      </c>
      <c r="B9" s="99" t="s">
        <v>158</v>
      </c>
      <c r="C9" s="99" t="s">
        <v>155</v>
      </c>
      <c r="D9" s="100">
        <v>9451000</v>
      </c>
      <c r="E9" s="100">
        <v>7996000</v>
      </c>
      <c r="F9" s="100">
        <v>6110000</v>
      </c>
      <c r="G9" s="101">
        <f t="shared" ref="G9:G27" si="1">IFERROR(D9/E9-1,"n.m.")</f>
        <v>0.18196598299149569</v>
      </c>
      <c r="H9" s="99" t="s">
        <v>156</v>
      </c>
    </row>
    <row r="10" spans="1:8">
      <c r="A10" s="99" t="s">
        <v>154</v>
      </c>
      <c r="B10" s="99" t="s">
        <v>159</v>
      </c>
      <c r="C10" s="99" t="s">
        <v>155</v>
      </c>
      <c r="D10" s="100">
        <f>D6-D9</f>
        <v>9223000</v>
      </c>
      <c r="E10" s="100">
        <f>E6-E9</f>
        <v>6019000</v>
      </c>
      <c r="F10" s="100">
        <f>F6-F9</f>
        <v>4277000</v>
      </c>
      <c r="G10" s="101">
        <f t="shared" si="1"/>
        <v>0.53231433792988869</v>
      </c>
      <c r="H10" s="99" t="s">
        <v>156</v>
      </c>
    </row>
    <row r="11" spans="1:8">
      <c r="A11" s="99" t="s">
        <v>154</v>
      </c>
      <c r="B11" s="99" t="s">
        <v>160</v>
      </c>
      <c r="C11" s="99" t="s">
        <v>155</v>
      </c>
      <c r="D11" s="100">
        <v>8643000</v>
      </c>
      <c r="E11" s="100">
        <v>3464000</v>
      </c>
      <c r="F11" s="100">
        <v>2105000</v>
      </c>
      <c r="G11" s="101">
        <f t="shared" si="1"/>
        <v>1.4950923787528869</v>
      </c>
      <c r="H11" s="99" t="s">
        <v>156</v>
      </c>
    </row>
    <row r="12" spans="1:8">
      <c r="A12" s="99" t="s">
        <v>154</v>
      </c>
      <c r="B12" s="99" t="s">
        <v>271</v>
      </c>
      <c r="C12" s="99" t="s">
        <v>155</v>
      </c>
      <c r="D12" s="100">
        <v>2644000</v>
      </c>
      <c r="E12" s="100">
        <v>1813000</v>
      </c>
      <c r="F12" s="100">
        <v>1665000</v>
      </c>
      <c r="G12" s="101">
        <f t="shared" si="1"/>
        <v>0.45835631549917255</v>
      </c>
      <c r="H12" s="99" t="s">
        <v>156</v>
      </c>
    </row>
    <row r="13" spans="1:8">
      <c r="A13" s="99" t="s">
        <v>154</v>
      </c>
      <c r="B13" s="99" t="s">
        <v>272</v>
      </c>
      <c r="C13" s="99" t="s">
        <v>155</v>
      </c>
      <c r="D13" s="100">
        <v>487000</v>
      </c>
      <c r="E13" s="100">
        <v>213000</v>
      </c>
      <c r="F13" s="100">
        <v>237000</v>
      </c>
      <c r="G13" s="101">
        <f t="shared" si="1"/>
        <v>1.2863849765258215</v>
      </c>
      <c r="H13" s="99" t="s">
        <v>156</v>
      </c>
    </row>
    <row r="14" spans="1:8">
      <c r="A14" s="99" t="s">
        <v>154</v>
      </c>
      <c r="B14" s="99" t="s">
        <v>273</v>
      </c>
      <c r="C14" s="99" t="s">
        <v>155</v>
      </c>
      <c r="D14" s="100">
        <v>38000</v>
      </c>
      <c r="E14" s="100">
        <v>63000</v>
      </c>
      <c r="F14" s="100">
        <v>3775000</v>
      </c>
      <c r="G14" s="101">
        <f t="shared" si="1"/>
        <v>-0.39682539682539686</v>
      </c>
      <c r="H14" s="99" t="s">
        <v>156</v>
      </c>
    </row>
    <row r="15" spans="1:8">
      <c r="A15" s="99" t="s">
        <v>154</v>
      </c>
      <c r="B15" s="99" t="s">
        <v>161</v>
      </c>
      <c r="C15" s="99" t="s">
        <v>155</v>
      </c>
      <c r="D15" s="100">
        <f>D10-D11-D12-D13-D14</f>
        <v>-2589000</v>
      </c>
      <c r="E15" s="100">
        <f>E10-E11-E12-E13-E14</f>
        <v>466000</v>
      </c>
      <c r="F15" s="100">
        <f>F10-F11-F12-F13-F14</f>
        <v>-3505000</v>
      </c>
      <c r="G15" s="101">
        <f t="shared" si="1"/>
        <v>-6.5557939914163086</v>
      </c>
      <c r="H15" s="99" t="s">
        <v>156</v>
      </c>
    </row>
    <row r="16" spans="1:8">
      <c r="A16" s="99" t="s">
        <v>154</v>
      </c>
      <c r="B16" s="99" t="s">
        <v>274</v>
      </c>
      <c r="C16" s="99" t="s">
        <v>155</v>
      </c>
      <c r="D16" s="100">
        <v>-1945000</v>
      </c>
      <c r="E16" s="100">
        <v>-1580000</v>
      </c>
      <c r="F16" s="100">
        <v>-1693000</v>
      </c>
      <c r="G16" s="101">
        <f t="shared" si="1"/>
        <v>0.231012658227848</v>
      </c>
      <c r="H16" s="99" t="s">
        <v>156</v>
      </c>
    </row>
    <row r="17" spans="1:8">
      <c r="A17" s="99" t="s">
        <v>154</v>
      </c>
      <c r="B17" s="99" t="s">
        <v>275</v>
      </c>
      <c r="C17" s="99" t="s">
        <v>155</v>
      </c>
      <c r="D17" s="100">
        <v>492000</v>
      </c>
      <c r="E17" s="100">
        <v>371000</v>
      </c>
      <c r="F17" s="100">
        <v>249000</v>
      </c>
      <c r="G17" s="101">
        <f t="shared" si="1"/>
        <v>0.32614555256064692</v>
      </c>
      <c r="H17" s="99" t="s">
        <v>156</v>
      </c>
    </row>
    <row r="18" spans="1:8">
      <c r="A18" s="99" t="s">
        <v>154</v>
      </c>
      <c r="B18" s="99" t="s">
        <v>47</v>
      </c>
      <c r="C18" s="99" t="s">
        <v>155</v>
      </c>
      <c r="D18" s="100">
        <v>-177000</v>
      </c>
      <c r="E18" s="100">
        <v>985000</v>
      </c>
      <c r="F18" s="100">
        <v>-42000</v>
      </c>
      <c r="G18" s="101">
        <f t="shared" si="1"/>
        <v>-1.1796954314720813</v>
      </c>
      <c r="H18" s="99" t="s">
        <v>156</v>
      </c>
    </row>
    <row r="19" spans="1:8">
      <c r="A19" s="99" t="s">
        <v>154</v>
      </c>
      <c r="B19" s="99" t="s">
        <v>276</v>
      </c>
      <c r="C19" s="99" t="s">
        <v>155</v>
      </c>
      <c r="D19" s="100">
        <f>D15+D16+D17+D18</f>
        <v>-4219000</v>
      </c>
      <c r="E19" s="100">
        <f>E15+E16+E17+E18</f>
        <v>242000</v>
      </c>
      <c r="F19" s="100">
        <f>F15+F16+F17+F18</f>
        <v>-4991000</v>
      </c>
      <c r="G19" s="101">
        <f t="shared" si="1"/>
        <v>-18.43388429752066</v>
      </c>
      <c r="H19" s="99" t="s">
        <v>156</v>
      </c>
    </row>
    <row r="20" spans="1:8">
      <c r="A20" s="99" t="s">
        <v>154</v>
      </c>
      <c r="B20" s="99" t="s">
        <v>277</v>
      </c>
      <c r="C20" s="99" t="s">
        <v>155</v>
      </c>
      <c r="D20" s="100">
        <v>718000</v>
      </c>
      <c r="E20" s="100">
        <v>-549000</v>
      </c>
      <c r="F20" s="100">
        <v>-363000</v>
      </c>
      <c r="G20" s="101">
        <f t="shared" si="1"/>
        <v>-2.3078324225865208</v>
      </c>
      <c r="H20" s="99" t="s">
        <v>156</v>
      </c>
    </row>
    <row r="21" spans="1:8" ht="15.75" customHeight="1">
      <c r="A21" s="99" t="s">
        <v>154</v>
      </c>
      <c r="B21" s="99" t="s">
        <v>278</v>
      </c>
      <c r="C21" s="99" t="s">
        <v>155</v>
      </c>
      <c r="D21" s="100">
        <f>D19-D20</f>
        <v>-4937000</v>
      </c>
      <c r="E21" s="100">
        <f>E19-E20</f>
        <v>791000</v>
      </c>
      <c r="F21" s="100">
        <f>F19-F20</f>
        <v>-4628000</v>
      </c>
      <c r="G21" s="101">
        <f t="shared" si="1"/>
        <v>-7.2414664981036658</v>
      </c>
      <c r="H21" s="99" t="s">
        <v>156</v>
      </c>
    </row>
    <row r="22" spans="1:8" ht="15.75" customHeight="1">
      <c r="A22" s="99" t="s">
        <v>154</v>
      </c>
      <c r="B22" s="99" t="s">
        <v>279</v>
      </c>
      <c r="C22" s="99" t="s">
        <v>155</v>
      </c>
      <c r="D22" s="100">
        <f>D21</f>
        <v>-4937000</v>
      </c>
      <c r="E22" s="100">
        <f>E21</f>
        <v>791000</v>
      </c>
      <c r="F22" s="100">
        <f>F21</f>
        <v>-4628000</v>
      </c>
      <c r="G22" s="101">
        <f t="shared" si="1"/>
        <v>-7.2414664981036658</v>
      </c>
      <c r="H22" s="99" t="s">
        <v>156</v>
      </c>
    </row>
    <row r="23" spans="1:8" ht="15.75" customHeight="1">
      <c r="A23" s="99" t="s">
        <v>162</v>
      </c>
      <c r="B23" s="99" t="s">
        <v>280</v>
      </c>
      <c r="C23" s="99" t="s">
        <v>163</v>
      </c>
      <c r="D23" s="102">
        <v>-1.69</v>
      </c>
      <c r="E23" s="102">
        <v>0.01</v>
      </c>
      <c r="F23" s="102">
        <v>-1.68</v>
      </c>
      <c r="G23" s="101">
        <f t="shared" si="1"/>
        <v>-170</v>
      </c>
      <c r="H23" s="99" t="s">
        <v>156</v>
      </c>
    </row>
    <row r="24" spans="1:8" ht="15.75" customHeight="1">
      <c r="A24" s="99" t="s">
        <v>162</v>
      </c>
      <c r="B24" s="99" t="s">
        <v>281</v>
      </c>
      <c r="C24" s="99" t="s">
        <v>163</v>
      </c>
      <c r="D24" s="102">
        <v>-1.69</v>
      </c>
      <c r="E24" s="102">
        <v>0</v>
      </c>
      <c r="F24" s="102">
        <v>-1.68</v>
      </c>
      <c r="G24" s="101" t="str">
        <f t="shared" si="1"/>
        <v>n.m.</v>
      </c>
      <c r="H24" s="99" t="s">
        <v>156</v>
      </c>
    </row>
    <row r="25" spans="1:8" ht="15.75" customHeight="1">
      <c r="A25" s="99" t="s">
        <v>162</v>
      </c>
      <c r="B25" s="99" t="s">
        <v>282</v>
      </c>
      <c r="C25" s="99" t="s">
        <v>164</v>
      </c>
      <c r="D25" s="100">
        <v>2926000</v>
      </c>
      <c r="E25" s="100">
        <v>2848000</v>
      </c>
      <c r="F25" s="100">
        <v>2759000</v>
      </c>
      <c r="G25" s="101">
        <f t="shared" si="1"/>
        <v>2.73876404494382E-2</v>
      </c>
      <c r="H25" s="99" t="s">
        <v>156</v>
      </c>
    </row>
    <row r="26" spans="1:8" ht="15.75" customHeight="1">
      <c r="A26" s="99" t="s">
        <v>162</v>
      </c>
      <c r="B26" s="99" t="s">
        <v>283</v>
      </c>
      <c r="C26" s="99" t="s">
        <v>164</v>
      </c>
      <c r="D26" s="100">
        <v>2926000</v>
      </c>
      <c r="E26" s="100">
        <v>9956000</v>
      </c>
      <c r="F26" s="100">
        <v>2759000</v>
      </c>
      <c r="G26" s="101">
        <f t="shared" si="1"/>
        <v>-0.70610687022900764</v>
      </c>
      <c r="H26" s="99" t="s">
        <v>156</v>
      </c>
    </row>
    <row r="27" spans="1:8" ht="15.75" customHeight="1">
      <c r="A27" s="99" t="s">
        <v>165</v>
      </c>
      <c r="B27" s="99" t="s">
        <v>284</v>
      </c>
      <c r="C27" s="99" t="s">
        <v>155</v>
      </c>
      <c r="D27" s="100">
        <v>6584000</v>
      </c>
      <c r="E27" s="100">
        <v>5350000</v>
      </c>
      <c r="F27" s="100">
        <v>3821000</v>
      </c>
      <c r="G27" s="101">
        <f t="shared" si="1"/>
        <v>0.23065420560747674</v>
      </c>
      <c r="H27" s="99" t="s">
        <v>166</v>
      </c>
    </row>
    <row r="28" spans="1:8" ht="15.75" customHeight="1">
      <c r="A28" s="99" t="s">
        <v>165</v>
      </c>
      <c r="B28" s="99" t="s">
        <v>285</v>
      </c>
      <c r="C28" s="99" t="s">
        <v>155</v>
      </c>
      <c r="D28" s="100"/>
      <c r="E28" s="100"/>
      <c r="F28" s="100">
        <f t="shared" si="0"/>
        <v>0</v>
      </c>
      <c r="G28" s="101" t="s">
        <v>440</v>
      </c>
      <c r="H28" s="99" t="s">
        <v>167</v>
      </c>
    </row>
    <row r="29" spans="1:8" ht="15.75" customHeight="1">
      <c r="A29" s="99" t="s">
        <v>168</v>
      </c>
      <c r="B29" s="99" t="s">
        <v>286</v>
      </c>
      <c r="C29" s="99" t="s">
        <v>155</v>
      </c>
      <c r="D29" s="100"/>
      <c r="E29" s="100"/>
      <c r="F29" s="100">
        <f t="shared" si="0"/>
        <v>0</v>
      </c>
      <c r="G29" s="101" t="s">
        <v>440</v>
      </c>
      <c r="H29" s="99" t="s">
        <v>156</v>
      </c>
    </row>
    <row r="30" spans="1:8" ht="15.75" customHeight="1">
      <c r="A30" s="99" t="s">
        <v>168</v>
      </c>
      <c r="B30" s="99" t="s">
        <v>287</v>
      </c>
      <c r="C30" s="99" t="s">
        <v>155</v>
      </c>
      <c r="D30" s="100"/>
      <c r="E30" s="100"/>
      <c r="F30" s="100">
        <f t="shared" si="0"/>
        <v>0</v>
      </c>
      <c r="G30" s="101" t="s">
        <v>440</v>
      </c>
      <c r="H30" s="99" t="s">
        <v>156</v>
      </c>
    </row>
    <row r="31" spans="1:8" ht="15.75" customHeight="1">
      <c r="A31" s="99" t="s">
        <v>168</v>
      </c>
      <c r="B31" s="99" t="s">
        <v>288</v>
      </c>
      <c r="C31" s="99" t="s">
        <v>155</v>
      </c>
      <c r="D31" s="100"/>
      <c r="E31" s="100"/>
      <c r="F31" s="100">
        <f t="shared" si="0"/>
        <v>0</v>
      </c>
      <c r="G31" s="101" t="s">
        <v>440</v>
      </c>
      <c r="H31" s="99" t="s">
        <v>156</v>
      </c>
    </row>
    <row r="32" spans="1:8" ht="15.75" customHeight="1">
      <c r="A32" s="99" t="s">
        <v>168</v>
      </c>
      <c r="B32" s="99" t="s">
        <v>289</v>
      </c>
      <c r="C32" s="99" t="s">
        <v>155</v>
      </c>
      <c r="D32" s="100"/>
      <c r="E32" s="100"/>
      <c r="F32" s="100">
        <f t="shared" si="0"/>
        <v>0</v>
      </c>
      <c r="G32" s="101" t="s">
        <v>440</v>
      </c>
      <c r="H32" s="99" t="s">
        <v>156</v>
      </c>
    </row>
    <row r="33" spans="1:8" ht="15.75" customHeight="1">
      <c r="A33" s="99" t="s">
        <v>168</v>
      </c>
      <c r="B33" s="99" t="s">
        <v>169</v>
      </c>
      <c r="C33" s="99" t="s">
        <v>155</v>
      </c>
      <c r="D33" s="100">
        <v>1307000</v>
      </c>
      <c r="E33" s="100">
        <v>981000</v>
      </c>
      <c r="F33" s="100">
        <v>727000</v>
      </c>
      <c r="G33" s="101">
        <f>IFERROR(D33/E33-1,"n.m.")</f>
        <v>0.33231396534148838</v>
      </c>
      <c r="H33" s="99" t="s">
        <v>156</v>
      </c>
    </row>
    <row r="34" spans="1:8" ht="15.75" customHeight="1">
      <c r="A34" s="99" t="s">
        <v>441</v>
      </c>
      <c r="B34" s="99" t="s">
        <v>171</v>
      </c>
      <c r="C34" s="99" t="s">
        <v>155</v>
      </c>
      <c r="D34" s="100">
        <v>24747000</v>
      </c>
      <c r="E34" s="100">
        <v>11385000</v>
      </c>
      <c r="F34" s="100">
        <f t="shared" si="0"/>
        <v>13362000</v>
      </c>
      <c r="G34" s="101">
        <f>IFERROR(D34/E34-1,"n.m.")</f>
        <v>1.1736495388669304</v>
      </c>
      <c r="H34" s="99" t="s">
        <v>172</v>
      </c>
    </row>
    <row r="35" spans="1:8" ht="15.75" customHeight="1">
      <c r="A35" s="99" t="s">
        <v>170</v>
      </c>
      <c r="B35" s="99" t="s">
        <v>290</v>
      </c>
      <c r="C35" s="99" t="s">
        <v>155</v>
      </c>
      <c r="D35" s="100">
        <v>0</v>
      </c>
      <c r="E35" s="100">
        <v>800000</v>
      </c>
      <c r="F35" s="100">
        <f t="shared" si="0"/>
        <v>-800000</v>
      </c>
      <c r="G35" s="101" t="s">
        <v>440</v>
      </c>
      <c r="H35" s="99" t="s">
        <v>172</v>
      </c>
    </row>
    <row r="36" spans="1:8" ht="15.75" customHeight="1">
      <c r="A36" s="99" t="s">
        <v>170</v>
      </c>
      <c r="B36" s="99" t="s">
        <v>291</v>
      </c>
      <c r="C36" s="99" t="s">
        <v>155</v>
      </c>
      <c r="D36" s="100">
        <v>1637000</v>
      </c>
      <c r="E36" s="100">
        <v>1749000</v>
      </c>
      <c r="F36" s="100">
        <f t="shared" si="0"/>
        <v>-112000</v>
      </c>
      <c r="G36" s="101">
        <f t="shared" ref="G36:G62" si="2">IFERROR(D36/E36-1,"n.m.")</f>
        <v>-6.4036592338479137E-2</v>
      </c>
      <c r="H36" s="99" t="s">
        <v>172</v>
      </c>
    </row>
    <row r="37" spans="1:8" ht="15.75" customHeight="1">
      <c r="A37" s="99" t="s">
        <v>170</v>
      </c>
      <c r="B37" s="99" t="s">
        <v>173</v>
      </c>
      <c r="C37" s="99" t="s">
        <v>155</v>
      </c>
      <c r="D37" s="100">
        <v>1579000</v>
      </c>
      <c r="E37" s="100">
        <v>1052000</v>
      </c>
      <c r="F37" s="100">
        <f t="shared" si="0"/>
        <v>527000</v>
      </c>
      <c r="G37" s="101">
        <f t="shared" si="2"/>
        <v>0.50095057034220525</v>
      </c>
      <c r="H37" s="99" t="s">
        <v>172</v>
      </c>
    </row>
    <row r="38" spans="1:8" ht="15.75" customHeight="1">
      <c r="A38" s="99" t="s">
        <v>170</v>
      </c>
      <c r="B38" s="99" t="s">
        <v>292</v>
      </c>
      <c r="C38" s="99" t="s">
        <v>155</v>
      </c>
      <c r="D38" s="100">
        <v>2416000</v>
      </c>
      <c r="E38" s="100">
        <v>2003000</v>
      </c>
      <c r="F38" s="100">
        <f t="shared" si="0"/>
        <v>413000</v>
      </c>
      <c r="G38" s="101">
        <f t="shared" si="2"/>
        <v>0.20619071392910637</v>
      </c>
      <c r="H38" s="99" t="s">
        <v>172</v>
      </c>
    </row>
    <row r="39" spans="1:8" ht="15.75" customHeight="1">
      <c r="A39" s="99" t="s">
        <v>170</v>
      </c>
      <c r="B39" s="99" t="s">
        <v>293</v>
      </c>
      <c r="C39" s="99" t="s">
        <v>155</v>
      </c>
      <c r="D39" s="100">
        <v>2210000</v>
      </c>
      <c r="E39" s="100">
        <v>868000</v>
      </c>
      <c r="F39" s="100">
        <f t="shared" si="0"/>
        <v>1342000</v>
      </c>
      <c r="G39" s="101">
        <f t="shared" si="2"/>
        <v>1.5460829493087558</v>
      </c>
      <c r="H39" s="99" t="s">
        <v>172</v>
      </c>
    </row>
    <row r="40" spans="1:8" ht="15.75" customHeight="1">
      <c r="A40" s="99" t="s">
        <v>170</v>
      </c>
      <c r="B40" s="99" t="s">
        <v>174</v>
      </c>
      <c r="C40" s="99" t="s">
        <v>155</v>
      </c>
      <c r="D40" s="100">
        <v>30952000</v>
      </c>
      <c r="E40" s="100">
        <v>16108000</v>
      </c>
      <c r="F40" s="100">
        <f t="shared" si="0"/>
        <v>14844000</v>
      </c>
      <c r="G40" s="101">
        <f t="shared" si="2"/>
        <v>0.92152967469580327</v>
      </c>
      <c r="H40" s="99" t="s">
        <v>172</v>
      </c>
    </row>
    <row r="41" spans="1:8" ht="15.75" customHeight="1">
      <c r="A41" s="99" t="s">
        <v>170</v>
      </c>
      <c r="B41" s="99" t="s">
        <v>294</v>
      </c>
      <c r="C41" s="99" t="s">
        <v>155</v>
      </c>
      <c r="D41" s="100">
        <v>42602000</v>
      </c>
      <c r="E41" s="100">
        <v>21147000</v>
      </c>
      <c r="F41" s="100">
        <f t="shared" si="0"/>
        <v>21455000</v>
      </c>
      <c r="G41" s="101">
        <f t="shared" si="2"/>
        <v>1.0145647136709699</v>
      </c>
      <c r="H41" s="99" t="s">
        <v>172</v>
      </c>
    </row>
    <row r="42" spans="1:8" ht="15.75" customHeight="1">
      <c r="A42" s="99" t="s">
        <v>170</v>
      </c>
      <c r="B42" s="99" t="s">
        <v>295</v>
      </c>
      <c r="C42" s="99" t="s">
        <v>155</v>
      </c>
      <c r="D42" s="100">
        <v>1260000</v>
      </c>
      <c r="E42" s="100">
        <v>1686000</v>
      </c>
      <c r="F42" s="100">
        <f t="shared" si="0"/>
        <v>-426000</v>
      </c>
      <c r="G42" s="101">
        <f t="shared" si="2"/>
        <v>-0.25266903914590744</v>
      </c>
      <c r="H42" s="99" t="s">
        <v>172</v>
      </c>
    </row>
    <row r="43" spans="1:8" ht="15.75" customHeight="1">
      <c r="A43" s="99" t="s">
        <v>170</v>
      </c>
      <c r="B43" s="99" t="s">
        <v>296</v>
      </c>
      <c r="C43" s="99" t="s">
        <v>155</v>
      </c>
      <c r="D43" s="100">
        <v>1548000</v>
      </c>
      <c r="E43" s="100">
        <v>2211000</v>
      </c>
      <c r="F43" s="100">
        <f t="shared" si="0"/>
        <v>-663000</v>
      </c>
      <c r="G43" s="101">
        <f t="shared" si="2"/>
        <v>-0.29986431478968789</v>
      </c>
      <c r="H43" s="99" t="s">
        <v>172</v>
      </c>
    </row>
    <row r="44" spans="1:8" ht="15.75" customHeight="1">
      <c r="A44" s="99" t="s">
        <v>170</v>
      </c>
      <c r="B44" s="99" t="s">
        <v>297</v>
      </c>
      <c r="C44" s="99" t="s">
        <v>155</v>
      </c>
      <c r="D44" s="100">
        <v>11809000</v>
      </c>
      <c r="E44" s="100">
        <v>11129000</v>
      </c>
      <c r="F44" s="100">
        <f t="shared" si="0"/>
        <v>680000</v>
      </c>
      <c r="G44" s="101">
        <f t="shared" si="2"/>
        <v>6.1101626381525831E-2</v>
      </c>
      <c r="H44" s="99" t="s">
        <v>172</v>
      </c>
    </row>
    <row r="45" spans="1:8" ht="15.75" customHeight="1">
      <c r="A45" s="99" t="s">
        <v>170</v>
      </c>
      <c r="B45" s="99" t="s">
        <v>298</v>
      </c>
      <c r="C45" s="99" t="s">
        <v>155</v>
      </c>
      <c r="D45" s="100">
        <v>141000</v>
      </c>
      <c r="E45" s="100">
        <v>696000</v>
      </c>
      <c r="F45" s="100">
        <f t="shared" si="0"/>
        <v>-555000</v>
      </c>
      <c r="G45" s="101">
        <f t="shared" si="2"/>
        <v>-0.79741379310344829</v>
      </c>
      <c r="H45" s="99" t="s">
        <v>172</v>
      </c>
    </row>
    <row r="46" spans="1:8" ht="15.75" customHeight="1">
      <c r="A46" s="99" t="s">
        <v>170</v>
      </c>
      <c r="B46" s="99" t="s">
        <v>175</v>
      </c>
      <c r="C46" s="99" t="s">
        <v>155</v>
      </c>
      <c r="D46" s="100">
        <v>2130000</v>
      </c>
      <c r="E46" s="100">
        <v>2336000</v>
      </c>
      <c r="F46" s="100">
        <f t="shared" si="0"/>
        <v>-206000</v>
      </c>
      <c r="G46" s="101">
        <f t="shared" si="2"/>
        <v>-8.8184931506849362E-2</v>
      </c>
      <c r="H46" s="99" t="s">
        <v>172</v>
      </c>
    </row>
    <row r="47" spans="1:8" ht="15.75" customHeight="1">
      <c r="A47" s="99" t="s">
        <v>170</v>
      </c>
      <c r="B47" s="99" t="s">
        <v>176</v>
      </c>
      <c r="C47" s="99" t="s">
        <v>155</v>
      </c>
      <c r="D47" s="100">
        <v>92079000</v>
      </c>
      <c r="E47" s="100">
        <v>57062000</v>
      </c>
      <c r="F47" s="100">
        <f t="shared" si="0"/>
        <v>35017000</v>
      </c>
      <c r="G47" s="101">
        <f t="shared" si="2"/>
        <v>0.6136658371595809</v>
      </c>
      <c r="H47" s="99" t="s">
        <v>172</v>
      </c>
    </row>
    <row r="48" spans="1:8" ht="15.75" customHeight="1">
      <c r="A48" s="99" t="s">
        <v>170</v>
      </c>
      <c r="B48" s="99" t="s">
        <v>177</v>
      </c>
      <c r="C48" s="99" t="s">
        <v>155</v>
      </c>
      <c r="D48" s="100">
        <v>11792000</v>
      </c>
      <c r="E48" s="100">
        <v>4413000</v>
      </c>
      <c r="F48" s="100">
        <f t="shared" si="0"/>
        <v>7379000</v>
      </c>
      <c r="G48" s="101">
        <f t="shared" si="2"/>
        <v>1.6721051438930434</v>
      </c>
      <c r="H48" s="99" t="s">
        <v>172</v>
      </c>
    </row>
    <row r="49" spans="1:8" ht="15.75" customHeight="1">
      <c r="A49" s="99" t="s">
        <v>170</v>
      </c>
      <c r="B49" s="99" t="s">
        <v>178</v>
      </c>
      <c r="C49" s="99" t="s">
        <v>155</v>
      </c>
      <c r="D49" s="100">
        <v>6111000</v>
      </c>
      <c r="E49" s="100">
        <v>5498000</v>
      </c>
      <c r="F49" s="100">
        <f t="shared" si="0"/>
        <v>613000</v>
      </c>
      <c r="G49" s="101">
        <f t="shared" si="2"/>
        <v>0.11149508912331751</v>
      </c>
      <c r="H49" s="99" t="s">
        <v>172</v>
      </c>
    </row>
    <row r="50" spans="1:8" ht="15.75" customHeight="1">
      <c r="A50" s="99" t="s">
        <v>170</v>
      </c>
      <c r="B50" s="99" t="s">
        <v>299</v>
      </c>
      <c r="C50" s="99" t="s">
        <v>155</v>
      </c>
      <c r="D50" s="100">
        <v>928000</v>
      </c>
      <c r="E50" s="100">
        <v>372000</v>
      </c>
      <c r="F50" s="100">
        <f t="shared" si="0"/>
        <v>556000</v>
      </c>
      <c r="G50" s="101">
        <f t="shared" si="2"/>
        <v>1.4946236559139785</v>
      </c>
      <c r="H50" s="99" t="s">
        <v>172</v>
      </c>
    </row>
    <row r="51" spans="1:8" ht="15.75" customHeight="1">
      <c r="A51" s="99" t="s">
        <v>170</v>
      </c>
      <c r="B51" s="99" t="s">
        <v>300</v>
      </c>
      <c r="C51" s="99" t="s">
        <v>155</v>
      </c>
      <c r="D51" s="100">
        <v>2569000</v>
      </c>
      <c r="E51" s="100">
        <v>1508000</v>
      </c>
      <c r="F51" s="100">
        <f t="shared" si="0"/>
        <v>1061000</v>
      </c>
      <c r="G51" s="101">
        <f t="shared" si="2"/>
        <v>0.70358090185676403</v>
      </c>
      <c r="H51" s="99" t="s">
        <v>172</v>
      </c>
    </row>
    <row r="52" spans="1:8" ht="15.75" customHeight="1">
      <c r="A52" s="99" t="s">
        <v>170</v>
      </c>
      <c r="B52" s="99" t="s">
        <v>179</v>
      </c>
      <c r="C52" s="99" t="s">
        <v>155</v>
      </c>
      <c r="D52" s="100">
        <v>21400000</v>
      </c>
      <c r="E52" s="100">
        <v>11791000</v>
      </c>
      <c r="F52" s="100">
        <f t="shared" si="0"/>
        <v>9609000</v>
      </c>
      <c r="G52" s="101">
        <f t="shared" si="2"/>
        <v>0.81494360105164954</v>
      </c>
      <c r="H52" s="99" t="s">
        <v>172</v>
      </c>
    </row>
    <row r="53" spans="1:8" ht="15.75" customHeight="1">
      <c r="A53" s="99" t="s">
        <v>170</v>
      </c>
      <c r="B53" s="99" t="s">
        <v>301</v>
      </c>
      <c r="C53" s="99" t="s">
        <v>155</v>
      </c>
      <c r="D53" s="100">
        <v>6005000</v>
      </c>
      <c r="E53" s="100">
        <v>4681000</v>
      </c>
      <c r="F53" s="100">
        <f t="shared" si="0"/>
        <v>1324000</v>
      </c>
      <c r="G53" s="101">
        <f t="shared" si="2"/>
        <v>0.28284554582354193</v>
      </c>
      <c r="H53" s="99" t="s">
        <v>172</v>
      </c>
    </row>
    <row r="54" spans="1:8" ht="15.75" customHeight="1">
      <c r="A54" s="99" t="s">
        <v>170</v>
      </c>
      <c r="B54" s="99" t="s">
        <v>302</v>
      </c>
      <c r="C54" s="99" t="s">
        <v>155</v>
      </c>
      <c r="D54" s="100">
        <v>21968000</v>
      </c>
      <c r="E54" s="100">
        <v>13421000</v>
      </c>
      <c r="F54" s="100">
        <f t="shared" si="0"/>
        <v>8547000</v>
      </c>
      <c r="G54" s="101">
        <f t="shared" si="2"/>
        <v>0.63683779152075104</v>
      </c>
      <c r="H54" s="99" t="s">
        <v>172</v>
      </c>
    </row>
    <row r="55" spans="1:8" ht="15.75" customHeight="1">
      <c r="A55" s="99" t="s">
        <v>170</v>
      </c>
      <c r="B55" s="99" t="s">
        <v>180</v>
      </c>
      <c r="C55" s="99" t="s">
        <v>155</v>
      </c>
      <c r="D55" s="100">
        <v>1381000</v>
      </c>
      <c r="E55" s="100">
        <v>1365000</v>
      </c>
      <c r="F55" s="100">
        <f t="shared" si="0"/>
        <v>16000</v>
      </c>
      <c r="G55" s="101">
        <f t="shared" si="2"/>
        <v>1.172161172161168E-2</v>
      </c>
      <c r="H55" s="99" t="s">
        <v>172</v>
      </c>
    </row>
    <row r="56" spans="1:8" ht="15.75" customHeight="1">
      <c r="A56" s="99" t="s">
        <v>170</v>
      </c>
      <c r="B56" s="99" t="s">
        <v>181</v>
      </c>
      <c r="C56" s="99" t="s">
        <v>155</v>
      </c>
      <c r="D56" s="100">
        <v>50754000</v>
      </c>
      <c r="E56" s="100">
        <v>31258000</v>
      </c>
      <c r="F56" s="100">
        <f t="shared" si="0"/>
        <v>19496000</v>
      </c>
      <c r="G56" s="101">
        <f t="shared" si="2"/>
        <v>0.62371232964361134</v>
      </c>
      <c r="H56" s="99" t="s">
        <v>172</v>
      </c>
    </row>
    <row r="57" spans="1:8" ht="15.75" customHeight="1">
      <c r="A57" s="99" t="s">
        <v>170</v>
      </c>
      <c r="B57" s="99" t="s">
        <v>182</v>
      </c>
      <c r="C57" s="99" t="s">
        <v>155</v>
      </c>
      <c r="D57" s="100">
        <v>38752000</v>
      </c>
      <c r="E57" s="100">
        <v>20941000</v>
      </c>
      <c r="F57" s="100">
        <f t="shared" si="0"/>
        <v>17811000</v>
      </c>
      <c r="G57" s="101">
        <f t="shared" si="2"/>
        <v>0.85053244830714858</v>
      </c>
      <c r="H57" s="99" t="s">
        <v>172</v>
      </c>
    </row>
    <row r="58" spans="1:8" ht="15.75" customHeight="1">
      <c r="A58" s="99" t="s">
        <v>170</v>
      </c>
      <c r="B58" s="99" t="s">
        <v>303</v>
      </c>
      <c r="C58" s="99" t="s">
        <v>155</v>
      </c>
      <c r="D58" s="100">
        <v>2573000</v>
      </c>
      <c r="E58" s="100">
        <v>4863000</v>
      </c>
      <c r="F58" s="100">
        <f t="shared" si="0"/>
        <v>-2290000</v>
      </c>
      <c r="G58" s="101">
        <f t="shared" si="2"/>
        <v>-0.47090273493728152</v>
      </c>
      <c r="H58" s="99" t="s">
        <v>172</v>
      </c>
    </row>
    <row r="59" spans="1:8" ht="15.75" customHeight="1">
      <c r="A59" s="99" t="s">
        <v>170</v>
      </c>
      <c r="B59" s="99" t="s">
        <v>304</v>
      </c>
      <c r="C59" s="99" t="s">
        <v>155</v>
      </c>
      <c r="D59" s="100">
        <f>D56+D57+D58</f>
        <v>92079000</v>
      </c>
      <c r="E59" s="100">
        <f>E56+E57+E58</f>
        <v>57062000</v>
      </c>
      <c r="F59" s="100">
        <f t="shared" si="0"/>
        <v>35017000</v>
      </c>
      <c r="G59" s="101">
        <f t="shared" si="2"/>
        <v>0.6136658371595809</v>
      </c>
      <c r="H59" s="99" t="s">
        <v>172</v>
      </c>
    </row>
    <row r="60" spans="1:8" ht="15.75" customHeight="1">
      <c r="A60" s="99" t="s">
        <v>183</v>
      </c>
      <c r="B60" s="99" t="s">
        <v>305</v>
      </c>
      <c r="C60" s="99" t="s">
        <v>155</v>
      </c>
      <c r="D60" s="100">
        <v>6785000</v>
      </c>
      <c r="E60" s="100">
        <v>5776000</v>
      </c>
      <c r="F60" s="100">
        <v>4520000</v>
      </c>
      <c r="G60" s="101">
        <f t="shared" si="2"/>
        <v>0.17468836565096946</v>
      </c>
      <c r="H60" s="99" t="s">
        <v>184</v>
      </c>
    </row>
    <row r="61" spans="1:8" ht="15.75" customHeight="1">
      <c r="A61" s="99" t="s">
        <v>183</v>
      </c>
      <c r="B61" s="99" t="s">
        <v>185</v>
      </c>
      <c r="C61" s="99" t="s">
        <v>155</v>
      </c>
      <c r="D61" s="100">
        <v>-19575000</v>
      </c>
      <c r="E61" s="100">
        <v>-10796000</v>
      </c>
      <c r="F61" s="100">
        <v>-4867000</v>
      </c>
      <c r="G61" s="101">
        <f t="shared" si="2"/>
        <v>0.81317154501667277</v>
      </c>
      <c r="H61" s="99" t="s">
        <v>184</v>
      </c>
    </row>
    <row r="62" spans="1:8" ht="15.75" customHeight="1">
      <c r="A62" s="99" t="s">
        <v>183</v>
      </c>
      <c r="B62" s="99" t="s">
        <v>186</v>
      </c>
      <c r="C62" s="99" t="s">
        <v>155</v>
      </c>
      <c r="D62" s="100">
        <v>26350000</v>
      </c>
      <c r="E62" s="100">
        <v>11830000</v>
      </c>
      <c r="F62" s="100">
        <v>422000</v>
      </c>
      <c r="G62" s="101">
        <f t="shared" si="2"/>
        <v>1.227387996618766</v>
      </c>
      <c r="H62" s="99" t="s">
        <v>184</v>
      </c>
    </row>
    <row r="63" spans="1:8" ht="15.75" customHeight="1">
      <c r="A63" s="99" t="s">
        <v>183</v>
      </c>
      <c r="B63" s="99" t="s">
        <v>187</v>
      </c>
      <c r="C63" s="99" t="s">
        <v>155</v>
      </c>
      <c r="D63" s="100">
        <v>0</v>
      </c>
      <c r="E63" s="100">
        <v>0</v>
      </c>
      <c r="F63" s="100">
        <v>0</v>
      </c>
      <c r="G63" s="101" t="s">
        <v>440</v>
      </c>
      <c r="H63" s="99" t="s">
        <v>188</v>
      </c>
    </row>
    <row r="64" spans="1:8" ht="15.75" customHeight="1">
      <c r="A64" s="99" t="s">
        <v>183</v>
      </c>
      <c r="B64" s="99" t="s">
        <v>306</v>
      </c>
      <c r="C64" s="99" t="s">
        <v>155</v>
      </c>
      <c r="D64" s="100">
        <f>D60+D61+D62+D63</f>
        <v>13560000</v>
      </c>
      <c r="E64" s="100">
        <f>E60+E61+E62+E63</f>
        <v>6810000</v>
      </c>
      <c r="F64" s="100">
        <f>F60+F61+F62+F63</f>
        <v>75000</v>
      </c>
      <c r="G64" s="101">
        <f>IFERROR(D64/E64-1,"n.m.")</f>
        <v>0.99118942731277526</v>
      </c>
      <c r="H64" s="99" t="s">
        <v>188</v>
      </c>
    </row>
    <row r="65" spans="1:8" ht="15.75" customHeight="1">
      <c r="A65" s="99" t="s">
        <v>183</v>
      </c>
      <c r="B65" s="99" t="s">
        <v>307</v>
      </c>
      <c r="C65" s="99" t="s">
        <v>155</v>
      </c>
      <c r="D65" s="100"/>
      <c r="E65" s="100"/>
      <c r="F65" s="100">
        <f t="shared" si="0"/>
        <v>0</v>
      </c>
      <c r="G65" s="101" t="s">
        <v>440</v>
      </c>
      <c r="H65" s="99" t="s">
        <v>188</v>
      </c>
    </row>
    <row r="66" spans="1:8" ht="15.75" customHeight="1">
      <c r="A66" s="99" t="s">
        <v>183</v>
      </c>
      <c r="B66" s="99" t="s">
        <v>308</v>
      </c>
      <c r="C66" s="99" t="s">
        <v>155</v>
      </c>
      <c r="D66" s="100"/>
      <c r="E66" s="100"/>
      <c r="F66" s="100">
        <f t="shared" si="0"/>
        <v>0</v>
      </c>
      <c r="G66" s="101" t="s">
        <v>440</v>
      </c>
      <c r="H66" s="99" t="s">
        <v>188</v>
      </c>
    </row>
    <row r="67" spans="1:8" ht="15.75" customHeight="1">
      <c r="A67" s="99" t="s">
        <v>189</v>
      </c>
      <c r="B67" s="99" t="s">
        <v>190</v>
      </c>
      <c r="C67" s="99" t="s">
        <v>155</v>
      </c>
      <c r="D67" s="100">
        <v>7341000</v>
      </c>
      <c r="E67" s="100">
        <v>3627000</v>
      </c>
      <c r="F67" s="100">
        <v>2587000</v>
      </c>
      <c r="G67" s="101">
        <f>IFERROR(D67/E67-1,"n.m.")</f>
        <v>1.0239867659222499</v>
      </c>
      <c r="H67" s="99" t="s">
        <v>191</v>
      </c>
    </row>
    <row r="68" spans="1:8" ht="15.75" customHeight="1">
      <c r="A68" s="99" t="s">
        <v>189</v>
      </c>
      <c r="B68" s="99" t="s">
        <v>192</v>
      </c>
      <c r="C68" s="99" t="s">
        <v>155</v>
      </c>
      <c r="D68" s="100">
        <v>1307000</v>
      </c>
      <c r="E68" s="100">
        <v>981000</v>
      </c>
      <c r="F68" s="100">
        <v>727000</v>
      </c>
      <c r="G68" s="101">
        <f>IFERROR(D68/E68-1,"n.m.")</f>
        <v>0.33231396534148838</v>
      </c>
      <c r="H68" s="99" t="s">
        <v>191</v>
      </c>
    </row>
    <row r="69" spans="1:8" ht="15.75" customHeight="1">
      <c r="A69" s="99" t="s">
        <v>189</v>
      </c>
      <c r="B69" s="99" t="s">
        <v>193</v>
      </c>
      <c r="C69" s="99" t="s">
        <v>155</v>
      </c>
      <c r="D69" s="100"/>
      <c r="E69" s="100"/>
      <c r="F69" s="100">
        <f t="shared" si="0"/>
        <v>0</v>
      </c>
      <c r="G69" s="101" t="s">
        <v>440</v>
      </c>
      <c r="H69" s="99" t="s">
        <v>191</v>
      </c>
    </row>
    <row r="70" spans="1:8" ht="15.75" customHeight="1">
      <c r="A70" s="99" t="s">
        <v>189</v>
      </c>
      <c r="B70" s="99" t="s">
        <v>194</v>
      </c>
      <c r="C70" s="99" t="s">
        <v>155</v>
      </c>
      <c r="D70" s="100"/>
      <c r="E70" s="100"/>
      <c r="F70" s="100">
        <f t="shared" si="0"/>
        <v>0</v>
      </c>
      <c r="G70" s="101" t="s">
        <v>440</v>
      </c>
      <c r="H70" s="99" t="s">
        <v>191</v>
      </c>
    </row>
    <row r="71" spans="1:8" ht="15.75" customHeight="1">
      <c r="A71" s="99" t="s">
        <v>189</v>
      </c>
      <c r="B71" s="99" t="s">
        <v>309</v>
      </c>
      <c r="C71" s="99" t="s">
        <v>155</v>
      </c>
      <c r="D71" s="100"/>
      <c r="E71" s="100"/>
      <c r="F71" s="100">
        <f t="shared" si="0"/>
        <v>0</v>
      </c>
      <c r="G71" s="101" t="s">
        <v>440</v>
      </c>
      <c r="H71" s="99" t="s">
        <v>191</v>
      </c>
    </row>
    <row r="72" spans="1:8" ht="15.75" customHeight="1">
      <c r="A72" s="99" t="s">
        <v>189</v>
      </c>
      <c r="B72" s="99" t="s">
        <v>195</v>
      </c>
      <c r="C72" s="99" t="s">
        <v>155</v>
      </c>
      <c r="D72" s="100"/>
      <c r="E72" s="100"/>
      <c r="F72" s="100">
        <f t="shared" si="0"/>
        <v>0</v>
      </c>
      <c r="G72" s="101" t="s">
        <v>440</v>
      </c>
      <c r="H72" s="99" t="s">
        <v>191</v>
      </c>
    </row>
    <row r="73" spans="1:8" ht="15.75" customHeight="1">
      <c r="A73" s="99" t="s">
        <v>189</v>
      </c>
      <c r="B73" s="99" t="s">
        <v>310</v>
      </c>
      <c r="C73" s="99" t="s">
        <v>155</v>
      </c>
      <c r="D73" s="100"/>
      <c r="E73" s="100"/>
      <c r="F73" s="100">
        <f t="shared" si="0"/>
        <v>0</v>
      </c>
      <c r="G73" s="101" t="s">
        <v>440</v>
      </c>
      <c r="H73" s="99" t="s">
        <v>191</v>
      </c>
    </row>
    <row r="74" spans="1:8" ht="15.75" customHeight="1">
      <c r="A74" s="99" t="s">
        <v>189</v>
      </c>
      <c r="B74" s="99" t="s">
        <v>311</v>
      </c>
      <c r="C74" s="99" t="s">
        <v>155</v>
      </c>
      <c r="D74" s="100"/>
      <c r="E74" s="100"/>
      <c r="F74" s="100">
        <f t="shared" si="0"/>
        <v>0</v>
      </c>
      <c r="G74" s="101" t="s">
        <v>440</v>
      </c>
      <c r="H74" s="99" t="s">
        <v>191</v>
      </c>
    </row>
    <row r="75" spans="1:8" ht="15.75" customHeight="1">
      <c r="A75" s="99" t="s">
        <v>189</v>
      </c>
      <c r="B75" s="99" t="s">
        <v>312</v>
      </c>
      <c r="C75" s="99" t="s">
        <v>155</v>
      </c>
      <c r="D75" s="100"/>
      <c r="E75" s="100"/>
      <c r="F75" s="100">
        <f t="shared" si="0"/>
        <v>0</v>
      </c>
      <c r="G75" s="101" t="s">
        <v>440</v>
      </c>
      <c r="H75" s="99" t="s">
        <v>191</v>
      </c>
    </row>
    <row r="76" spans="1:8" ht="15.75" customHeight="1">
      <c r="A76" s="99" t="s">
        <v>189</v>
      </c>
      <c r="B76" s="99" t="s">
        <v>313</v>
      </c>
      <c r="C76" s="99" t="s">
        <v>155</v>
      </c>
      <c r="D76" s="100"/>
      <c r="E76" s="100"/>
      <c r="F76" s="100">
        <f t="shared" si="0"/>
        <v>0</v>
      </c>
      <c r="G76" s="101" t="s">
        <v>440</v>
      </c>
      <c r="H76" s="99" t="s">
        <v>191</v>
      </c>
    </row>
    <row r="77" spans="1:8" ht="15.75" customHeight="1">
      <c r="A77" s="99" t="s">
        <v>189</v>
      </c>
      <c r="B77" s="99" t="s">
        <v>314</v>
      </c>
      <c r="C77" s="99" t="s">
        <v>155</v>
      </c>
      <c r="D77" s="100">
        <v>1153000</v>
      </c>
      <c r="E77" s="100"/>
      <c r="F77" s="100">
        <f t="shared" si="0"/>
        <v>1153000</v>
      </c>
      <c r="G77" s="101" t="s">
        <v>440</v>
      </c>
      <c r="H77" s="99" t="s">
        <v>191</v>
      </c>
    </row>
    <row r="78" spans="1:8" ht="15.75" customHeight="1">
      <c r="A78" s="99" t="s">
        <v>189</v>
      </c>
      <c r="B78" s="99" t="s">
        <v>315</v>
      </c>
      <c r="C78" s="99" t="s">
        <v>155</v>
      </c>
      <c r="D78" s="100"/>
      <c r="E78" s="100"/>
      <c r="F78" s="100">
        <f t="shared" si="0"/>
        <v>0</v>
      </c>
      <c r="G78" s="101" t="s">
        <v>440</v>
      </c>
      <c r="H78" s="99" t="s">
        <v>191</v>
      </c>
    </row>
    <row r="79" spans="1:8" ht="15.75" customHeight="1">
      <c r="A79" s="99" t="s">
        <v>189</v>
      </c>
      <c r="B79" s="99" t="s">
        <v>316</v>
      </c>
      <c r="C79" s="99" t="s">
        <v>155</v>
      </c>
      <c r="D79" s="100"/>
      <c r="E79" s="100"/>
      <c r="F79" s="100">
        <f t="shared" si="0"/>
        <v>0</v>
      </c>
      <c r="G79" s="101" t="s">
        <v>440</v>
      </c>
      <c r="H79" s="99" t="s">
        <v>191</v>
      </c>
    </row>
    <row r="80" spans="1:8" ht="15.75" customHeight="1">
      <c r="A80" s="99" t="s">
        <v>189</v>
      </c>
      <c r="B80" s="99" t="s">
        <v>317</v>
      </c>
      <c r="C80" s="99" t="s">
        <v>155</v>
      </c>
      <c r="D80" s="100">
        <v>-20737000</v>
      </c>
      <c r="E80" s="100">
        <v>-11163000</v>
      </c>
      <c r="F80" s="100">
        <v>-4415000</v>
      </c>
      <c r="G80" s="101">
        <f>IFERROR(D80/E80-1,"n.m.")</f>
        <v>0.8576547523067275</v>
      </c>
      <c r="H80" s="99" t="s">
        <v>191</v>
      </c>
    </row>
    <row r="81" spans="1:8" ht="15.75" customHeight="1">
      <c r="A81" s="99" t="s">
        <v>189</v>
      </c>
      <c r="B81" s="99" t="s">
        <v>318</v>
      </c>
      <c r="C81" s="99" t="s">
        <v>155</v>
      </c>
      <c r="D81" s="100"/>
      <c r="E81" s="100"/>
      <c r="F81" s="100">
        <f t="shared" si="0"/>
        <v>0</v>
      </c>
      <c r="G81" s="101" t="s">
        <v>440</v>
      </c>
      <c r="H81" s="99" t="s">
        <v>191</v>
      </c>
    </row>
    <row r="82" spans="1:8" ht="15.75" customHeight="1">
      <c r="A82" s="99" t="s">
        <v>189</v>
      </c>
      <c r="B82" s="99" t="s">
        <v>319</v>
      </c>
      <c r="C82" s="99" t="s">
        <v>155</v>
      </c>
      <c r="D82" s="100"/>
      <c r="E82" s="100"/>
      <c r="F82" s="100">
        <f t="shared" si="0"/>
        <v>0</v>
      </c>
      <c r="G82" s="101" t="s">
        <v>440</v>
      </c>
      <c r="H82" s="99" t="s">
        <v>191</v>
      </c>
    </row>
    <row r="83" spans="1:8" ht="15.75" customHeight="1">
      <c r="A83" s="99" t="s">
        <v>189</v>
      </c>
      <c r="B83" s="99" t="s">
        <v>320</v>
      </c>
      <c r="C83" s="99" t="s">
        <v>155</v>
      </c>
      <c r="D83" s="100">
        <v>16055000</v>
      </c>
      <c r="E83" s="100"/>
      <c r="F83" s="100">
        <f t="shared" si="0"/>
        <v>16055000</v>
      </c>
      <c r="G83" s="101" t="s">
        <v>440</v>
      </c>
      <c r="H83" s="99" t="s">
        <v>191</v>
      </c>
    </row>
    <row r="84" spans="1:8" ht="15.75" customHeight="1">
      <c r="A84" s="99" t="s">
        <v>189</v>
      </c>
      <c r="B84" s="99" t="s">
        <v>321</v>
      </c>
      <c r="C84" s="99" t="s">
        <v>155</v>
      </c>
      <c r="D84" s="100">
        <v>-6781000</v>
      </c>
      <c r="E84" s="100"/>
      <c r="F84" s="100">
        <f t="shared" si="0"/>
        <v>-6781000</v>
      </c>
      <c r="G84" s="101" t="s">
        <v>440</v>
      </c>
      <c r="H84" s="99" t="s">
        <v>191</v>
      </c>
    </row>
    <row r="85" spans="1:8" ht="15.75" customHeight="1">
      <c r="A85" s="99" t="s">
        <v>189</v>
      </c>
      <c r="B85" s="99" t="s">
        <v>196</v>
      </c>
      <c r="C85" s="99" t="s">
        <v>155</v>
      </c>
      <c r="D85" s="100"/>
      <c r="E85" s="100"/>
      <c r="F85" s="100">
        <f t="shared" si="0"/>
        <v>0</v>
      </c>
      <c r="G85" s="101" t="s">
        <v>440</v>
      </c>
      <c r="H85" s="99" t="s">
        <v>191</v>
      </c>
    </row>
    <row r="86" spans="1:8" ht="15.75" customHeight="1">
      <c r="A86" s="99" t="s">
        <v>189</v>
      </c>
      <c r="B86" s="99" t="s">
        <v>322</v>
      </c>
      <c r="C86" s="99" t="s">
        <v>155</v>
      </c>
      <c r="D86" s="100">
        <v>5706000</v>
      </c>
      <c r="E86" s="100"/>
      <c r="F86" s="100">
        <f t="shared" si="0"/>
        <v>5706000</v>
      </c>
      <c r="G86" s="101" t="s">
        <v>440</v>
      </c>
      <c r="H86" s="99" t="s">
        <v>191</v>
      </c>
    </row>
    <row r="87" spans="1:8" ht="15.75" customHeight="1">
      <c r="A87" s="99" t="s">
        <v>189</v>
      </c>
      <c r="B87" s="99" t="s">
        <v>323</v>
      </c>
      <c r="C87" s="99" t="s">
        <v>155</v>
      </c>
      <c r="D87" s="100"/>
      <c r="E87" s="100"/>
      <c r="F87" s="100">
        <f t="shared" si="0"/>
        <v>0</v>
      </c>
      <c r="G87" s="101" t="s">
        <v>440</v>
      </c>
      <c r="H87" s="99" t="s">
        <v>191</v>
      </c>
    </row>
    <row r="88" spans="1:8" ht="15.75" customHeight="1">
      <c r="A88" s="99" t="s">
        <v>189</v>
      </c>
      <c r="B88" s="99" t="s">
        <v>197</v>
      </c>
      <c r="C88" s="99" t="s">
        <v>155</v>
      </c>
      <c r="D88" s="100"/>
      <c r="E88" s="100"/>
      <c r="F88" s="100">
        <f t="shared" si="0"/>
        <v>0</v>
      </c>
      <c r="G88" s="101" t="s">
        <v>440</v>
      </c>
      <c r="H88" s="99" t="s">
        <v>191</v>
      </c>
    </row>
    <row r="89" spans="1:8" ht="15.75" customHeight="1">
      <c r="A89" s="99" t="s">
        <v>189</v>
      </c>
      <c r="B89" s="99" t="s">
        <v>198</v>
      </c>
      <c r="C89" s="99" t="s">
        <v>155</v>
      </c>
      <c r="D89" s="100"/>
      <c r="E89" s="100"/>
      <c r="F89" s="100">
        <f t="shared" si="0"/>
        <v>0</v>
      </c>
      <c r="G89" s="101" t="s">
        <v>440</v>
      </c>
      <c r="H89" s="99" t="s">
        <v>191</v>
      </c>
    </row>
    <row r="90" spans="1:8" ht="15.75" customHeight="1">
      <c r="A90" s="99" t="s">
        <v>189</v>
      </c>
      <c r="B90" s="99" t="s">
        <v>199</v>
      </c>
      <c r="C90" s="99" t="s">
        <v>155</v>
      </c>
      <c r="D90" s="100"/>
      <c r="E90" s="100"/>
      <c r="F90" s="100">
        <f t="shared" si="0"/>
        <v>0</v>
      </c>
      <c r="G90" s="101" t="s">
        <v>440</v>
      </c>
      <c r="H90" s="99" t="s">
        <v>191</v>
      </c>
    </row>
    <row r="91" spans="1:8" ht="15.75" customHeight="1">
      <c r="D91" s="100"/>
      <c r="E91" s="100"/>
      <c r="F91" s="100"/>
      <c r="G91" s="101"/>
    </row>
    <row r="92" spans="1:8" ht="15.75" customHeight="1">
      <c r="D92" s="100"/>
      <c r="E92" s="100"/>
      <c r="F92" s="100"/>
      <c r="G92" s="101"/>
    </row>
    <row r="93" spans="1:8" ht="15.75" customHeight="1">
      <c r="D93" s="100"/>
      <c r="E93" s="100"/>
      <c r="F93" s="100"/>
      <c r="G93" s="101"/>
    </row>
    <row r="94" spans="1:8" ht="15.75" customHeight="1">
      <c r="D94" s="100"/>
      <c r="E94" s="100"/>
      <c r="F94" s="100"/>
      <c r="G94" s="101"/>
    </row>
    <row r="95" spans="1:8" ht="15.75" customHeight="1">
      <c r="D95" s="100"/>
      <c r="E95" s="100"/>
      <c r="F95" s="100"/>
      <c r="G95" s="101"/>
    </row>
    <row r="96" spans="1:8" ht="15.75" customHeight="1">
      <c r="D96" s="100"/>
      <c r="E96" s="100"/>
      <c r="F96" s="100"/>
      <c r="G96" s="101"/>
    </row>
    <row r="97" spans="4:7" ht="15.75" customHeight="1">
      <c r="D97" s="100"/>
      <c r="E97" s="100"/>
      <c r="F97" s="100"/>
      <c r="G97" s="101"/>
    </row>
    <row r="98" spans="4:7" ht="15.75" customHeight="1">
      <c r="D98" s="100"/>
      <c r="E98" s="100"/>
      <c r="F98" s="100"/>
      <c r="G98" s="101"/>
    </row>
    <row r="99" spans="4:7" ht="15.75" customHeight="1">
      <c r="D99" s="100"/>
      <c r="E99" s="100"/>
      <c r="F99" s="100"/>
      <c r="G99" s="101"/>
    </row>
    <row r="100" spans="4:7" ht="15.75" customHeight="1">
      <c r="D100" s="100"/>
      <c r="E100" s="100"/>
      <c r="F100" s="100"/>
      <c r="G100" s="101"/>
    </row>
    <row r="101" spans="4:7" ht="15.75" customHeight="1">
      <c r="D101" s="100"/>
      <c r="E101" s="100"/>
      <c r="F101" s="100"/>
      <c r="G101" s="101"/>
    </row>
    <row r="102" spans="4:7" ht="15.75" customHeight="1">
      <c r="D102" s="100"/>
      <c r="E102" s="100"/>
      <c r="F102" s="100"/>
      <c r="G102" s="101"/>
    </row>
    <row r="103" spans="4:7" ht="15.75" customHeight="1">
      <c r="D103" s="100"/>
      <c r="E103" s="100"/>
      <c r="F103" s="100"/>
      <c r="G103" s="101"/>
    </row>
    <row r="104" spans="4:7" ht="15.75" customHeight="1">
      <c r="D104" s="100"/>
      <c r="E104" s="100"/>
      <c r="F104" s="100"/>
      <c r="G104" s="101"/>
    </row>
    <row r="105" spans="4:7" ht="15.75" customHeight="1">
      <c r="D105" s="100"/>
      <c r="E105" s="100"/>
      <c r="F105" s="100"/>
      <c r="G105" s="101"/>
    </row>
    <row r="106" spans="4:7" ht="15.75" customHeight="1">
      <c r="D106" s="100"/>
      <c r="E106" s="100"/>
      <c r="F106" s="100"/>
      <c r="G106" s="101"/>
    </row>
    <row r="107" spans="4:7" ht="15.75" customHeight="1">
      <c r="D107" s="100"/>
      <c r="E107" s="100"/>
      <c r="F107" s="100"/>
      <c r="G107" s="101"/>
    </row>
    <row r="108" spans="4:7" ht="15.75" customHeight="1">
      <c r="D108" s="100"/>
      <c r="E108" s="100"/>
      <c r="F108" s="100"/>
      <c r="G108" s="101"/>
    </row>
    <row r="109" spans="4:7" ht="15.75" customHeight="1">
      <c r="D109" s="100"/>
      <c r="E109" s="100"/>
      <c r="F109" s="100"/>
      <c r="G109" s="101"/>
    </row>
    <row r="110" spans="4:7" ht="15.75" customHeight="1">
      <c r="D110" s="100"/>
      <c r="E110" s="100"/>
      <c r="F110" s="100"/>
      <c r="G110" s="101"/>
    </row>
    <row r="111" spans="4:7" ht="15.75" customHeight="1">
      <c r="D111" s="100"/>
      <c r="E111" s="100"/>
      <c r="F111" s="100"/>
      <c r="G111" s="101"/>
    </row>
    <row r="112" spans="4:7" ht="15.75" customHeight="1">
      <c r="D112" s="100"/>
      <c r="E112" s="100"/>
      <c r="F112" s="100"/>
      <c r="G112" s="101"/>
    </row>
    <row r="113" spans="4:7" ht="15.75" customHeight="1">
      <c r="D113" s="100"/>
      <c r="E113" s="100"/>
      <c r="F113" s="100"/>
      <c r="G113" s="101"/>
    </row>
    <row r="114" spans="4:7" ht="15.75" customHeight="1">
      <c r="D114" s="100"/>
      <c r="E114" s="100"/>
      <c r="F114" s="100"/>
      <c r="G114" s="101"/>
    </row>
    <row r="115" spans="4:7" ht="15.75" customHeight="1">
      <c r="D115" s="100"/>
      <c r="E115" s="100"/>
      <c r="F115" s="100"/>
      <c r="G115" s="101"/>
    </row>
    <row r="116" spans="4:7" ht="15.75" customHeight="1">
      <c r="D116" s="100"/>
      <c r="E116" s="100"/>
      <c r="F116" s="100"/>
      <c r="G116" s="101"/>
    </row>
    <row r="117" spans="4:7" ht="15.75" customHeight="1">
      <c r="D117" s="100"/>
      <c r="E117" s="100"/>
      <c r="F117" s="100"/>
      <c r="G117" s="101"/>
    </row>
    <row r="118" spans="4:7" ht="15.75" customHeight="1">
      <c r="D118" s="100"/>
      <c r="E118" s="100"/>
      <c r="F118" s="100"/>
      <c r="G118" s="101"/>
    </row>
    <row r="119" spans="4:7" ht="15.75" customHeight="1">
      <c r="D119" s="100"/>
      <c r="E119" s="100"/>
      <c r="F119" s="100"/>
      <c r="G119" s="101"/>
    </row>
    <row r="120" spans="4:7" ht="15.75" customHeight="1">
      <c r="D120" s="100"/>
      <c r="E120" s="100"/>
      <c r="F120" s="100"/>
      <c r="G120" s="101"/>
    </row>
    <row r="121" spans="4:7" ht="15.75" customHeight="1">
      <c r="D121" s="100"/>
      <c r="E121" s="100"/>
      <c r="F121" s="100"/>
      <c r="G121" s="101"/>
    </row>
    <row r="122" spans="4:7" ht="15.75" customHeight="1">
      <c r="D122" s="100"/>
      <c r="E122" s="100"/>
      <c r="F122" s="100"/>
      <c r="G122" s="101"/>
    </row>
    <row r="123" spans="4:7" ht="15.75" customHeight="1">
      <c r="D123" s="100"/>
      <c r="E123" s="100"/>
      <c r="F123" s="100"/>
      <c r="G123" s="101"/>
    </row>
    <row r="124" spans="4:7" ht="15.75" customHeight="1">
      <c r="D124" s="100"/>
      <c r="E124" s="100"/>
      <c r="F124" s="100"/>
      <c r="G124" s="101"/>
    </row>
    <row r="125" spans="4:7" ht="15.75" customHeight="1">
      <c r="D125" s="100"/>
      <c r="E125" s="100"/>
      <c r="F125" s="100"/>
      <c r="G125" s="101"/>
    </row>
    <row r="126" spans="4:7" ht="15.75" customHeight="1">
      <c r="D126" s="100"/>
      <c r="E126" s="100"/>
      <c r="F126" s="100"/>
      <c r="G126" s="101"/>
    </row>
    <row r="127" spans="4:7" ht="15.75" customHeight="1">
      <c r="D127" s="100"/>
      <c r="E127" s="100"/>
      <c r="F127" s="100"/>
      <c r="G127" s="101"/>
    </row>
    <row r="128" spans="4:7" ht="15.75" customHeight="1">
      <c r="D128" s="100"/>
      <c r="E128" s="100"/>
      <c r="F128" s="100"/>
      <c r="G128" s="101"/>
    </row>
    <row r="129" spans="4:7" ht="15.75" customHeight="1">
      <c r="D129" s="100"/>
      <c r="E129" s="100"/>
      <c r="F129" s="100"/>
      <c r="G129" s="101"/>
    </row>
    <row r="130" spans="4:7" ht="15.75" customHeight="1">
      <c r="D130" s="100"/>
      <c r="E130" s="100"/>
      <c r="F130" s="100"/>
      <c r="G130" s="101"/>
    </row>
    <row r="131" spans="4:7" ht="15.75" customHeight="1">
      <c r="D131" s="100"/>
      <c r="E131" s="100"/>
      <c r="F131" s="100"/>
      <c r="G131" s="101"/>
    </row>
    <row r="132" spans="4:7" ht="15.75" customHeight="1">
      <c r="D132" s="100"/>
      <c r="E132" s="100"/>
      <c r="F132" s="100"/>
      <c r="G132" s="101"/>
    </row>
    <row r="133" spans="4:7" ht="15.75" customHeight="1">
      <c r="D133" s="100"/>
      <c r="E133" s="100"/>
      <c r="F133" s="100"/>
      <c r="G133" s="101"/>
    </row>
    <row r="134" spans="4:7" ht="15.75" customHeight="1">
      <c r="D134" s="100"/>
      <c r="E134" s="100"/>
      <c r="F134" s="100"/>
      <c r="G134" s="101"/>
    </row>
    <row r="135" spans="4:7" ht="15.75" customHeight="1">
      <c r="D135" s="100"/>
      <c r="E135" s="100"/>
      <c r="F135" s="100"/>
      <c r="G135" s="101"/>
    </row>
    <row r="136" spans="4:7" ht="15.75" customHeight="1">
      <c r="D136" s="100"/>
      <c r="E136" s="100"/>
      <c r="F136" s="100"/>
      <c r="G136" s="101"/>
    </row>
    <row r="137" spans="4:7" ht="15.75" customHeight="1">
      <c r="D137" s="100"/>
      <c r="E137" s="100"/>
      <c r="F137" s="100"/>
      <c r="G137" s="101"/>
    </row>
    <row r="138" spans="4:7" ht="15.75" customHeight="1">
      <c r="D138" s="100"/>
      <c r="E138" s="100"/>
      <c r="F138" s="100"/>
      <c r="G138" s="101"/>
    </row>
    <row r="139" spans="4:7" ht="15.75" customHeight="1">
      <c r="D139" s="100"/>
      <c r="E139" s="100"/>
      <c r="F139" s="100"/>
      <c r="G139" s="101"/>
    </row>
    <row r="140" spans="4:7" ht="15.75" customHeight="1">
      <c r="D140" s="100"/>
      <c r="E140" s="100"/>
      <c r="F140" s="100"/>
      <c r="G140" s="101"/>
    </row>
    <row r="141" spans="4:7" ht="15.75" customHeight="1">
      <c r="D141" s="100"/>
      <c r="E141" s="100"/>
      <c r="F141" s="100"/>
      <c r="G141" s="101"/>
    </row>
    <row r="142" spans="4:7" ht="15.75" customHeight="1">
      <c r="D142" s="100"/>
      <c r="E142" s="100"/>
      <c r="F142" s="100"/>
      <c r="G142" s="101"/>
    </row>
    <row r="143" spans="4:7" ht="15.75" customHeight="1">
      <c r="D143" s="100"/>
      <c r="E143" s="100"/>
      <c r="F143" s="100"/>
      <c r="G143" s="101"/>
    </row>
    <row r="144" spans="4:7" ht="15.75" customHeight="1">
      <c r="D144" s="100"/>
      <c r="E144" s="100"/>
      <c r="F144" s="100"/>
      <c r="G144" s="101"/>
    </row>
    <row r="145" spans="4:7" ht="15.75" customHeight="1">
      <c r="D145" s="100"/>
      <c r="E145" s="100"/>
      <c r="F145" s="100"/>
      <c r="G145" s="101"/>
    </row>
    <row r="146" spans="4:7" ht="15.75" customHeight="1">
      <c r="D146" s="100"/>
      <c r="E146" s="100"/>
      <c r="F146" s="100"/>
      <c r="G146" s="101"/>
    </row>
    <row r="147" spans="4:7" ht="15.75" customHeight="1">
      <c r="D147" s="100"/>
      <c r="E147" s="100"/>
      <c r="F147" s="100"/>
      <c r="G147" s="101"/>
    </row>
    <row r="148" spans="4:7" ht="15.75" customHeight="1">
      <c r="D148" s="100"/>
      <c r="E148" s="100"/>
      <c r="F148" s="100"/>
      <c r="G148" s="101"/>
    </row>
    <row r="149" spans="4:7" ht="15.75" customHeight="1">
      <c r="D149" s="100"/>
      <c r="E149" s="100"/>
      <c r="F149" s="100"/>
      <c r="G149" s="101"/>
    </row>
    <row r="150" spans="4:7" ht="15.75" customHeight="1">
      <c r="D150" s="100"/>
      <c r="E150" s="100"/>
      <c r="F150" s="100"/>
      <c r="G150" s="101"/>
    </row>
    <row r="151" spans="4:7" ht="15.75" customHeight="1">
      <c r="D151" s="100"/>
      <c r="E151" s="100"/>
      <c r="F151" s="100"/>
      <c r="G151" s="101"/>
    </row>
    <row r="152" spans="4:7" ht="15.75" customHeight="1">
      <c r="D152" s="100"/>
      <c r="E152" s="100"/>
      <c r="F152" s="100"/>
      <c r="G152" s="101"/>
    </row>
    <row r="153" spans="4:7" ht="15.75" customHeight="1">
      <c r="D153" s="100"/>
      <c r="E153" s="100"/>
      <c r="F153" s="100"/>
      <c r="G153" s="101"/>
    </row>
    <row r="154" spans="4:7" ht="15.75" customHeight="1">
      <c r="D154" s="100"/>
      <c r="E154" s="100"/>
      <c r="F154" s="100"/>
      <c r="G154" s="101"/>
    </row>
    <row r="155" spans="4:7" ht="15.75" customHeight="1">
      <c r="D155" s="100"/>
      <c r="E155" s="100"/>
      <c r="F155" s="100"/>
      <c r="G155" s="101"/>
    </row>
    <row r="156" spans="4:7" ht="15.75" customHeight="1">
      <c r="D156" s="100"/>
      <c r="E156" s="100"/>
      <c r="F156" s="100"/>
      <c r="G156" s="101"/>
    </row>
    <row r="157" spans="4:7" ht="15.75" customHeight="1">
      <c r="D157" s="100"/>
      <c r="E157" s="100"/>
      <c r="F157" s="100"/>
      <c r="G157" s="101"/>
    </row>
    <row r="158" spans="4:7" ht="15.75" customHeight="1">
      <c r="D158" s="100"/>
      <c r="E158" s="100"/>
      <c r="F158" s="100"/>
      <c r="G158" s="101"/>
    </row>
    <row r="159" spans="4:7" ht="15.75" customHeight="1">
      <c r="D159" s="100"/>
      <c r="E159" s="100"/>
      <c r="F159" s="100"/>
      <c r="G159" s="101"/>
    </row>
    <row r="160" spans="4:7" ht="15.75" customHeight="1">
      <c r="D160" s="100"/>
      <c r="E160" s="100"/>
      <c r="F160" s="100"/>
      <c r="G160" s="101"/>
    </row>
    <row r="161" spans="4:7" ht="15.75" customHeight="1">
      <c r="D161" s="100"/>
      <c r="E161" s="100"/>
      <c r="F161" s="100"/>
      <c r="G161" s="101"/>
    </row>
    <row r="162" spans="4:7" ht="15.75" customHeight="1">
      <c r="D162" s="100"/>
      <c r="E162" s="100"/>
      <c r="F162" s="100"/>
      <c r="G162" s="101"/>
    </row>
    <row r="163" spans="4:7" ht="15.75" customHeight="1">
      <c r="D163" s="100"/>
      <c r="E163" s="100"/>
      <c r="F163" s="100"/>
      <c r="G163" s="101"/>
    </row>
    <row r="164" spans="4:7" ht="15.75" customHeight="1">
      <c r="D164" s="100"/>
      <c r="E164" s="100"/>
      <c r="F164" s="100"/>
      <c r="G164" s="101"/>
    </row>
    <row r="165" spans="4:7" ht="15.75" customHeight="1">
      <c r="D165" s="100"/>
      <c r="E165" s="100"/>
      <c r="F165" s="100"/>
      <c r="G165" s="101"/>
    </row>
    <row r="166" spans="4:7" ht="15.75" customHeight="1">
      <c r="D166" s="100"/>
      <c r="E166" s="100"/>
      <c r="F166" s="100"/>
      <c r="G166" s="101"/>
    </row>
    <row r="167" spans="4:7" ht="15.75" customHeight="1">
      <c r="D167" s="100"/>
      <c r="E167" s="100"/>
      <c r="F167" s="100"/>
      <c r="G167" s="101"/>
    </row>
    <row r="168" spans="4:7" ht="15.75" customHeight="1">
      <c r="D168" s="100"/>
      <c r="E168" s="100"/>
      <c r="F168" s="100"/>
      <c r="G168" s="101"/>
    </row>
    <row r="169" spans="4:7" ht="15.75" customHeight="1">
      <c r="D169" s="100"/>
      <c r="E169" s="100"/>
      <c r="F169" s="100"/>
      <c r="G169" s="101"/>
    </row>
    <row r="170" spans="4:7" ht="15.75" customHeight="1">
      <c r="D170" s="100"/>
      <c r="E170" s="100"/>
      <c r="F170" s="100"/>
      <c r="G170" s="101"/>
    </row>
    <row r="171" spans="4:7" ht="15.75" customHeight="1">
      <c r="D171" s="100"/>
      <c r="E171" s="100"/>
      <c r="F171" s="100"/>
      <c r="G171" s="101"/>
    </row>
    <row r="172" spans="4:7" ht="15.75" customHeight="1">
      <c r="D172" s="100"/>
      <c r="E172" s="100"/>
      <c r="F172" s="100"/>
      <c r="G172" s="101"/>
    </row>
    <row r="173" spans="4:7" ht="15.75" customHeight="1">
      <c r="D173" s="100"/>
      <c r="E173" s="100"/>
      <c r="F173" s="100"/>
      <c r="G173" s="101"/>
    </row>
    <row r="174" spans="4:7" ht="15.75" customHeight="1">
      <c r="D174" s="100"/>
      <c r="E174" s="100"/>
      <c r="F174" s="100"/>
      <c r="G174" s="101"/>
    </row>
    <row r="175" spans="4:7" ht="15.75" customHeight="1">
      <c r="D175" s="100"/>
      <c r="E175" s="100"/>
      <c r="F175" s="100"/>
      <c r="G175" s="101"/>
    </row>
    <row r="176" spans="4:7" ht="15.75" customHeight="1">
      <c r="D176" s="100"/>
      <c r="E176" s="100"/>
      <c r="F176" s="100"/>
      <c r="G176" s="101"/>
    </row>
    <row r="177" spans="4:7" ht="15.75" customHeight="1">
      <c r="D177" s="100"/>
      <c r="E177" s="100"/>
      <c r="F177" s="100"/>
      <c r="G177" s="101"/>
    </row>
    <row r="178" spans="4:7" ht="15.75" customHeight="1">
      <c r="D178" s="100"/>
      <c r="E178" s="100"/>
      <c r="F178" s="100"/>
      <c r="G178" s="101"/>
    </row>
    <row r="179" spans="4:7" ht="15.75" customHeight="1">
      <c r="D179" s="100"/>
      <c r="E179" s="100"/>
      <c r="F179" s="100"/>
      <c r="G179" s="101"/>
    </row>
    <row r="180" spans="4:7" ht="15.75" customHeight="1">
      <c r="D180" s="100"/>
      <c r="E180" s="100"/>
      <c r="F180" s="100"/>
      <c r="G180" s="101"/>
    </row>
    <row r="181" spans="4:7" ht="15.75" customHeight="1">
      <c r="D181" s="100"/>
      <c r="E181" s="100"/>
      <c r="F181" s="100"/>
      <c r="G181" s="101"/>
    </row>
    <row r="182" spans="4:7" ht="15.75" customHeight="1">
      <c r="D182" s="100"/>
      <c r="E182" s="100"/>
      <c r="F182" s="100"/>
      <c r="G182" s="101"/>
    </row>
    <row r="183" spans="4:7" ht="15.75" customHeight="1">
      <c r="D183" s="100"/>
      <c r="E183" s="100"/>
      <c r="F183" s="100"/>
      <c r="G183" s="101"/>
    </row>
    <row r="184" spans="4:7" ht="15.75" customHeight="1">
      <c r="D184" s="100"/>
      <c r="E184" s="100"/>
      <c r="F184" s="100"/>
      <c r="G184" s="101"/>
    </row>
    <row r="185" spans="4:7" ht="15.75" customHeight="1">
      <c r="D185" s="100"/>
      <c r="E185" s="100"/>
      <c r="F185" s="100"/>
      <c r="G185" s="101"/>
    </row>
    <row r="186" spans="4:7" ht="15.75" customHeight="1">
      <c r="D186" s="100"/>
      <c r="E186" s="100"/>
      <c r="F186" s="100"/>
      <c r="G186" s="101"/>
    </row>
    <row r="187" spans="4:7" ht="15.75" customHeight="1">
      <c r="D187" s="100"/>
      <c r="E187" s="100"/>
      <c r="F187" s="100"/>
      <c r="G187" s="101"/>
    </row>
    <row r="188" spans="4:7" ht="15.75" customHeight="1">
      <c r="D188" s="100"/>
      <c r="E188" s="100"/>
      <c r="F188" s="100"/>
      <c r="G188" s="101"/>
    </row>
    <row r="189" spans="4:7" ht="15.75" customHeight="1">
      <c r="D189" s="100"/>
      <c r="E189" s="100"/>
      <c r="F189" s="100"/>
      <c r="G189" s="101"/>
    </row>
    <row r="190" spans="4:7" ht="15.75" customHeight="1">
      <c r="D190" s="100"/>
      <c r="E190" s="100"/>
      <c r="F190" s="100"/>
      <c r="G190" s="101"/>
    </row>
    <row r="191" spans="4:7" ht="15.75" customHeight="1">
      <c r="D191" s="100"/>
      <c r="E191" s="100"/>
      <c r="F191" s="100"/>
      <c r="G191" s="101"/>
    </row>
    <row r="192" spans="4:7" ht="15.75" customHeight="1">
      <c r="D192" s="100"/>
      <c r="E192" s="100"/>
      <c r="F192" s="100"/>
      <c r="G192" s="101"/>
    </row>
    <row r="193" spans="4:7" ht="15.75" customHeight="1">
      <c r="D193" s="100"/>
      <c r="E193" s="100"/>
      <c r="F193" s="100"/>
      <c r="G193" s="101"/>
    </row>
    <row r="194" spans="4:7" ht="15.75" customHeight="1">
      <c r="D194" s="100"/>
      <c r="E194" s="100"/>
      <c r="F194" s="100"/>
      <c r="G194" s="101"/>
    </row>
    <row r="195" spans="4:7" ht="15.75" customHeight="1">
      <c r="D195" s="100"/>
      <c r="E195" s="100"/>
      <c r="F195" s="100"/>
      <c r="G195" s="101"/>
    </row>
    <row r="196" spans="4:7" ht="15.75" customHeight="1">
      <c r="D196" s="100"/>
      <c r="E196" s="100"/>
      <c r="F196" s="100"/>
      <c r="G196" s="101"/>
    </row>
    <row r="197" spans="4:7" ht="15.75" customHeight="1">
      <c r="D197" s="100"/>
      <c r="E197" s="100"/>
      <c r="F197" s="100"/>
      <c r="G197" s="101"/>
    </row>
    <row r="198" spans="4:7" ht="15.75" customHeight="1">
      <c r="D198" s="100"/>
      <c r="E198" s="100"/>
      <c r="F198" s="100"/>
      <c r="G198" s="101"/>
    </row>
    <row r="199" spans="4:7" ht="15.75" customHeight="1">
      <c r="D199" s="100"/>
      <c r="E199" s="100"/>
      <c r="F199" s="100"/>
      <c r="G199" s="101"/>
    </row>
    <row r="200" spans="4:7" ht="15.75" customHeight="1">
      <c r="D200" s="100"/>
      <c r="E200" s="100"/>
      <c r="F200" s="100"/>
      <c r="G200" s="101"/>
    </row>
    <row r="201" spans="4:7" ht="15.75" customHeight="1"/>
    <row r="202" spans="4:7" ht="15.75" customHeight="1"/>
    <row r="203" spans="4:7" ht="15.75" customHeight="1"/>
    <row r="204" spans="4:7" ht="15.75" customHeight="1"/>
    <row r="205" spans="4:7" ht="15.75" customHeight="1"/>
    <row r="206" spans="4:7" ht="15.75" customHeight="1"/>
    <row r="207" spans="4:7" ht="15.75" customHeight="1"/>
    <row r="208" spans="4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C32" sqref="C32"/>
    </sheetView>
  </sheetViews>
  <sheetFormatPr baseColWidth="10" defaultColWidth="12.6640625" defaultRowHeight="15" customHeight="1"/>
  <cols>
    <col min="1" max="1" width="42" customWidth="1"/>
    <col min="2" max="2" width="12" customWidth="1"/>
    <col min="3" max="4" width="18" customWidth="1"/>
    <col min="5" max="5" width="70" customWidth="1"/>
    <col min="6" max="6" width="40" customWidth="1"/>
    <col min="7" max="26" width="8.83203125" customWidth="1"/>
  </cols>
  <sheetData>
    <row r="1" spans="1:7">
      <c r="A1" s="349" t="s">
        <v>429</v>
      </c>
      <c r="B1" s="350"/>
      <c r="C1" s="350"/>
      <c r="D1" s="350"/>
      <c r="E1" s="350"/>
      <c r="F1" s="351"/>
    </row>
    <row r="3" spans="1:7">
      <c r="A3" s="98" t="s">
        <v>152</v>
      </c>
      <c r="B3" s="98" t="s">
        <v>153</v>
      </c>
      <c r="C3" s="148" t="s">
        <v>36</v>
      </c>
      <c r="D3" s="148" t="s">
        <v>35</v>
      </c>
      <c r="E3" s="98" t="s">
        <v>430</v>
      </c>
      <c r="F3" s="98" t="s">
        <v>200</v>
      </c>
      <c r="G3" t="s">
        <v>201</v>
      </c>
    </row>
    <row r="4" spans="1:7">
      <c r="A4" s="99" t="s">
        <v>324</v>
      </c>
      <c r="B4" s="99" t="s">
        <v>202</v>
      </c>
      <c r="C4" s="204">
        <f>Annual_Financials!D6/Annual_Financials!E6-1</f>
        <v>0.3324295397788084</v>
      </c>
      <c r="D4" s="204">
        <f>Annual_Financials!E6/Annual_Financials!F6-1</f>
        <v>0.34928275729276992</v>
      </c>
      <c r="E4" s="205" t="s">
        <v>43</v>
      </c>
      <c r="F4" s="99" t="s">
        <v>431</v>
      </c>
      <c r="G4" t="s">
        <v>325</v>
      </c>
    </row>
    <row r="5" spans="1:7">
      <c r="A5" s="99" t="s">
        <v>326</v>
      </c>
      <c r="B5" s="165">
        <v>0</v>
      </c>
      <c r="C5" s="206">
        <v>4086000</v>
      </c>
      <c r="D5" s="206">
        <v>3796000</v>
      </c>
      <c r="E5" s="207">
        <v>3557000</v>
      </c>
      <c r="F5" s="99" t="s">
        <v>327</v>
      </c>
      <c r="G5" t="s">
        <v>328</v>
      </c>
    </row>
    <row r="6" spans="1:7">
      <c r="A6" s="99" t="s">
        <v>329</v>
      </c>
      <c r="B6" s="165">
        <v>0</v>
      </c>
      <c r="C6" s="208">
        <v>11387000</v>
      </c>
      <c r="D6" s="208">
        <v>7599000</v>
      </c>
      <c r="E6" s="209">
        <v>3869000</v>
      </c>
      <c r="F6" s="99" t="s">
        <v>330</v>
      </c>
      <c r="G6" t="s">
        <v>328</v>
      </c>
    </row>
    <row r="7" spans="1:7">
      <c r="A7" s="99" t="s">
        <v>331</v>
      </c>
      <c r="B7" s="165">
        <v>0</v>
      </c>
      <c r="C7" s="206">
        <v>3201000</v>
      </c>
      <c r="D7" s="206">
        <v>2620000</v>
      </c>
      <c r="E7" s="207">
        <v>2961000</v>
      </c>
      <c r="F7" s="99" t="s">
        <v>332</v>
      </c>
      <c r="G7" t="s">
        <v>328</v>
      </c>
    </row>
    <row r="8" spans="1:7">
      <c r="A8" s="99" t="s">
        <v>203</v>
      </c>
      <c r="B8" s="99" t="s">
        <v>202</v>
      </c>
      <c r="C8" s="204">
        <f>Annual_Financials!D10/Annual_Financials!D6</f>
        <v>0.49389525543536467</v>
      </c>
      <c r="D8" s="204">
        <f>Annual_Financials!E10/Annual_Financials!E6</f>
        <v>0.4294684266856939</v>
      </c>
      <c r="E8" s="205">
        <f>Annual_Financials!F10/Annual_Financials!F6</f>
        <v>0.41176470588235292</v>
      </c>
      <c r="F8" s="99" t="s">
        <v>333</v>
      </c>
      <c r="G8" t="s">
        <v>245</v>
      </c>
    </row>
    <row r="9" spans="1:7">
      <c r="A9" s="99" t="s">
        <v>204</v>
      </c>
      <c r="B9" s="99" t="s">
        <v>202</v>
      </c>
      <c r="C9" s="210">
        <f>Annual_Financials!D15/Annual_Financials!D6</f>
        <v>-0.13864196208632323</v>
      </c>
      <c r="D9" s="211">
        <f>Annual_Financials!E15/Annual_Financials!E6</f>
        <v>3.325008919015341E-2</v>
      </c>
      <c r="E9" s="212">
        <f>Annual_Financials!F15/Annual_Financials!F6</f>
        <v>-0.33744103205930492</v>
      </c>
      <c r="F9" s="99" t="s">
        <v>432</v>
      </c>
      <c r="G9" t="s">
        <v>245</v>
      </c>
    </row>
    <row r="10" spans="1:7">
      <c r="A10" s="99" t="s">
        <v>205</v>
      </c>
      <c r="B10" s="99" t="s">
        <v>202</v>
      </c>
      <c r="C10" s="213">
        <f>Annual_Financials!D21/Annual_Financials!D6</f>
        <v>-0.2643782799614437</v>
      </c>
      <c r="D10" s="204">
        <f>Annual_Financials!E21/Annual_Financials!E6</f>
        <v>5.6439529075990008E-2</v>
      </c>
      <c r="E10" s="205">
        <f>Annual_Financials!F21/Annual_Financials!F6</f>
        <v>-0.4455569461827284</v>
      </c>
      <c r="F10" s="99" t="s">
        <v>433</v>
      </c>
      <c r="G10" t="s">
        <v>245</v>
      </c>
    </row>
    <row r="11" spans="1:7">
      <c r="A11" s="99" t="s">
        <v>284</v>
      </c>
      <c r="B11" s="165">
        <v>0</v>
      </c>
      <c r="C11" s="206">
        <v>6584000</v>
      </c>
      <c r="D11" s="206">
        <v>5350000</v>
      </c>
      <c r="E11" s="207">
        <v>3821000</v>
      </c>
      <c r="F11" s="99" t="s">
        <v>334</v>
      </c>
      <c r="G11" t="s">
        <v>335</v>
      </c>
    </row>
    <row r="12" spans="1:7">
      <c r="A12" s="99" t="s">
        <v>336</v>
      </c>
      <c r="B12" s="99" t="s">
        <v>202</v>
      </c>
      <c r="C12" s="204">
        <f>C11/Annual_Financials!D6</f>
        <v>0.35257577380314875</v>
      </c>
      <c r="D12" s="204">
        <f>D11/Annual_Financials!E6</f>
        <v>0.3817338565822333</v>
      </c>
      <c r="E12" s="205">
        <f>E11/Annual_Financials!F6</f>
        <v>0.36786367574853179</v>
      </c>
      <c r="F12" s="99" t="s">
        <v>337</v>
      </c>
      <c r="G12" t="s">
        <v>245</v>
      </c>
    </row>
    <row r="13" spans="1:7">
      <c r="A13" s="99" t="s">
        <v>206</v>
      </c>
      <c r="B13" s="99" t="s">
        <v>202</v>
      </c>
      <c r="C13" s="211">
        <f>Annual_Financials!D11/Annual_Financials!D6</f>
        <v>0.46283602870300955</v>
      </c>
      <c r="D13" s="211">
        <f>Annual_Financials!E11/Annual_Financials!E6</f>
        <v>0.24716375312165537</v>
      </c>
      <c r="E13" s="212">
        <f>Annual_Financials!F11/Annual_Financials!F6</f>
        <v>0.20265716761336286</v>
      </c>
      <c r="F13" s="99" t="s">
        <v>338</v>
      </c>
      <c r="G13" t="s">
        <v>245</v>
      </c>
    </row>
    <row r="14" spans="1:7">
      <c r="A14" s="99" t="s">
        <v>339</v>
      </c>
      <c r="B14" s="99" t="s">
        <v>202</v>
      </c>
      <c r="C14" s="204">
        <f>Annual_Financials!D12/Annual_Financials!D6</f>
        <v>0.14158723358680519</v>
      </c>
      <c r="D14" s="204">
        <f>Annual_Financials!E12/Annual_Financials!E6</f>
        <v>0.12936139850160541</v>
      </c>
      <c r="E14" s="205">
        <f>Annual_Financials!F12/Annual_Financials!F6</f>
        <v>0.16029652450178108</v>
      </c>
      <c r="F14" s="99" t="s">
        <v>340</v>
      </c>
      <c r="G14" t="s">
        <v>245</v>
      </c>
    </row>
    <row r="15" spans="1:7">
      <c r="A15" s="99" t="s">
        <v>341</v>
      </c>
      <c r="B15" s="99" t="s">
        <v>342</v>
      </c>
      <c r="C15" s="214">
        <v>8.9</v>
      </c>
      <c r="D15" s="214">
        <v>4.4000000000000004</v>
      </c>
      <c r="E15" s="215">
        <v>2.2999999999999998</v>
      </c>
      <c r="F15" s="99" t="s">
        <v>343</v>
      </c>
      <c r="G15" t="s">
        <v>344</v>
      </c>
    </row>
    <row r="16" spans="1:7">
      <c r="A16" s="99" t="s">
        <v>345</v>
      </c>
      <c r="B16" s="99" t="s">
        <v>346</v>
      </c>
      <c r="C16" s="208">
        <v>81</v>
      </c>
      <c r="D16" s="208">
        <v>91</v>
      </c>
      <c r="E16" s="209">
        <v>99</v>
      </c>
      <c r="F16" s="99" t="s">
        <v>347</v>
      </c>
      <c r="G16" t="s">
        <v>344</v>
      </c>
    </row>
    <row r="17" spans="1:7">
      <c r="A17" s="99" t="s">
        <v>348</v>
      </c>
      <c r="B17" s="99" t="s">
        <v>349</v>
      </c>
      <c r="C17" s="216">
        <v>9600</v>
      </c>
      <c r="D17" s="216"/>
      <c r="E17" s="217" t="s">
        <v>350</v>
      </c>
      <c r="F17" s="99" t="s">
        <v>434</v>
      </c>
      <c r="G17" t="s">
        <v>344</v>
      </c>
    </row>
    <row r="18" spans="1:7">
      <c r="A18" s="99" t="s">
        <v>351</v>
      </c>
      <c r="B18" s="99" t="s">
        <v>349</v>
      </c>
      <c r="C18" s="218">
        <v>164</v>
      </c>
      <c r="D18" s="218"/>
      <c r="E18" s="219" t="s">
        <v>352</v>
      </c>
      <c r="F18" s="99" t="s">
        <v>352</v>
      </c>
      <c r="G18" t="s">
        <v>344</v>
      </c>
    </row>
    <row r="19" spans="1:7">
      <c r="A19" s="99" t="s">
        <v>353</v>
      </c>
      <c r="B19" s="99" t="s">
        <v>354</v>
      </c>
      <c r="C19" s="216">
        <v>2213</v>
      </c>
      <c r="D19" s="216">
        <v>1699</v>
      </c>
      <c r="E19" s="217">
        <v>1210</v>
      </c>
      <c r="F19" s="99" t="s">
        <v>355</v>
      </c>
      <c r="G19" t="s">
        <v>356</v>
      </c>
    </row>
    <row r="20" spans="1:7">
      <c r="A20" s="99" t="s">
        <v>357</v>
      </c>
      <c r="B20" s="99" t="s">
        <v>349</v>
      </c>
      <c r="C20" s="218">
        <v>170</v>
      </c>
      <c r="D20" s="218">
        <v>138</v>
      </c>
      <c r="E20" s="219">
        <v>98</v>
      </c>
      <c r="F20" s="99" t="s">
        <v>358</v>
      </c>
      <c r="G20" t="s">
        <v>356</v>
      </c>
    </row>
    <row r="21" spans="1:7" ht="15.75" customHeight="1">
      <c r="A21" s="99" t="s">
        <v>359</v>
      </c>
      <c r="B21" s="99" t="s">
        <v>349</v>
      </c>
      <c r="C21" s="216">
        <v>43</v>
      </c>
      <c r="D21" s="216">
        <v>45</v>
      </c>
      <c r="E21" s="217">
        <v>33</v>
      </c>
      <c r="F21" s="99" t="s">
        <v>360</v>
      </c>
      <c r="G21" t="s">
        <v>356</v>
      </c>
    </row>
    <row r="22" spans="1:7" ht="15.75" customHeight="1">
      <c r="A22" s="99" t="s">
        <v>361</v>
      </c>
      <c r="B22" s="99" t="s">
        <v>349</v>
      </c>
      <c r="C22" s="218">
        <v>122</v>
      </c>
      <c r="D22" s="218">
        <v>89</v>
      </c>
      <c r="E22" s="219">
        <v>63</v>
      </c>
      <c r="F22" s="99" t="s">
        <v>362</v>
      </c>
      <c r="G22" t="s">
        <v>356</v>
      </c>
    </row>
    <row r="23" spans="1:7" ht="15.75" customHeight="1">
      <c r="A23" s="99" t="s">
        <v>363</v>
      </c>
      <c r="B23" s="99" t="s">
        <v>364</v>
      </c>
      <c r="C23" s="214">
        <v>0.8</v>
      </c>
      <c r="D23" s="214">
        <v>0.3</v>
      </c>
      <c r="E23" s="215">
        <v>0</v>
      </c>
      <c r="F23" s="99" t="s">
        <v>365</v>
      </c>
      <c r="G23" t="s">
        <v>366</v>
      </c>
    </row>
    <row r="24" spans="1:7" ht="15.75" customHeight="1">
      <c r="A24" s="99" t="s">
        <v>367</v>
      </c>
      <c r="B24" s="99" t="s">
        <v>342</v>
      </c>
      <c r="C24" s="218">
        <v>520</v>
      </c>
      <c r="D24" s="218">
        <v>520</v>
      </c>
      <c r="E24" s="219" t="s">
        <v>368</v>
      </c>
      <c r="F24" s="99" t="s">
        <v>368</v>
      </c>
      <c r="G24" t="s">
        <v>366</v>
      </c>
    </row>
    <row r="25" spans="1:7" ht="15.75" customHeight="1">
      <c r="A25" s="99" t="s">
        <v>369</v>
      </c>
      <c r="B25" s="99" t="s">
        <v>342</v>
      </c>
      <c r="C25" s="214">
        <v>6.3</v>
      </c>
      <c r="D25" s="214"/>
      <c r="E25" s="215" t="s">
        <v>370</v>
      </c>
      <c r="F25" s="99" t="s">
        <v>370</v>
      </c>
      <c r="G25" t="s">
        <v>366</v>
      </c>
    </row>
    <row r="26" spans="1:7" ht="15.75" customHeight="1">
      <c r="A26" s="99" t="s">
        <v>371</v>
      </c>
      <c r="B26" s="165">
        <v>0</v>
      </c>
      <c r="C26" s="208">
        <v>20737000</v>
      </c>
      <c r="D26" s="208">
        <v>11163000</v>
      </c>
      <c r="E26" s="209">
        <v>4415000</v>
      </c>
      <c r="F26" s="99" t="s">
        <v>372</v>
      </c>
      <c r="G26" t="s">
        <v>373</v>
      </c>
    </row>
    <row r="27" spans="1:7" ht="15.75" customHeight="1">
      <c r="A27" s="99" t="s">
        <v>374</v>
      </c>
      <c r="B27" s="165">
        <v>0</v>
      </c>
      <c r="C27" s="206">
        <v>3832000</v>
      </c>
      <c r="D27" s="206">
        <v>2032000</v>
      </c>
      <c r="E27" s="207">
        <v>1497000</v>
      </c>
      <c r="F27" s="99" t="s">
        <v>375</v>
      </c>
      <c r="G27" t="s">
        <v>373</v>
      </c>
    </row>
    <row r="28" spans="1:7" ht="15.75" customHeight="1">
      <c r="A28" s="99" t="s">
        <v>376</v>
      </c>
      <c r="B28" s="165">
        <v>0</v>
      </c>
      <c r="C28" s="208">
        <v>4178000</v>
      </c>
      <c r="D28" s="208">
        <v>3498000</v>
      </c>
      <c r="E28" s="209">
        <v>2455000</v>
      </c>
      <c r="F28" s="99" t="s">
        <v>377</v>
      </c>
      <c r="G28" t="s">
        <v>373</v>
      </c>
    </row>
    <row r="29" spans="1:7" ht="15.75" customHeight="1">
      <c r="A29" s="99" t="s">
        <v>378</v>
      </c>
      <c r="B29" s="165">
        <v>0</v>
      </c>
      <c r="C29" s="206">
        <v>12727000</v>
      </c>
      <c r="D29" s="206">
        <v>5633000</v>
      </c>
      <c r="E29" s="207">
        <v>463000</v>
      </c>
      <c r="F29" s="99" t="s">
        <v>379</v>
      </c>
      <c r="G29" t="s">
        <v>373</v>
      </c>
    </row>
    <row r="30" spans="1:7" ht="15.75" customHeight="1">
      <c r="A30" s="99" t="s">
        <v>380</v>
      </c>
      <c r="B30" s="165">
        <v>0</v>
      </c>
      <c r="C30" s="208">
        <f>Annual_Financials!D60</f>
        <v>6785000</v>
      </c>
      <c r="D30" s="208">
        <f>Annual_Financials!E60</f>
        <v>5776000</v>
      </c>
      <c r="E30" s="209">
        <f>Annual_Financials!F60</f>
        <v>4520000</v>
      </c>
      <c r="F30" s="99" t="s">
        <v>381</v>
      </c>
      <c r="G30" t="s">
        <v>245</v>
      </c>
    </row>
    <row r="31" spans="1:7" ht="15.75" customHeight="1">
      <c r="A31" s="99" t="s">
        <v>382</v>
      </c>
      <c r="B31" s="165">
        <v>0</v>
      </c>
      <c r="C31" s="220">
        <f>Annual_Financials!D60+Annual_Financials!D80</f>
        <v>-13952000</v>
      </c>
      <c r="D31" s="220">
        <f>Annual_Financials!E60+Annual_Financials!E80</f>
        <v>-5387000</v>
      </c>
      <c r="E31" s="207">
        <f>Annual_Financials!F60+Annual_Financials!F80</f>
        <v>105000</v>
      </c>
      <c r="F31" s="99" t="s">
        <v>383</v>
      </c>
      <c r="G31" t="s">
        <v>437</v>
      </c>
    </row>
    <row r="32" spans="1:7" ht="15.75" customHeight="1">
      <c r="A32" s="99" t="s">
        <v>384</v>
      </c>
      <c r="B32" s="165">
        <v>0</v>
      </c>
      <c r="C32" s="208">
        <f>Annual_Financials!D34+Annual_Financials!D35</f>
        <v>24747000</v>
      </c>
      <c r="D32" s="208">
        <f>Annual_Financials!E34+Annual_Financials!E35</f>
        <v>12185000</v>
      </c>
      <c r="E32" s="209" t="s">
        <v>385</v>
      </c>
      <c r="F32" s="99" t="s">
        <v>435</v>
      </c>
      <c r="G32" t="s">
        <v>245</v>
      </c>
    </row>
    <row r="33" spans="1:7" ht="15.75" customHeight="1">
      <c r="A33" s="99" t="s">
        <v>386</v>
      </c>
      <c r="B33" s="165">
        <v>0</v>
      </c>
      <c r="C33" s="206">
        <f>Annual_Financials!D50+Annual_Financials!D54</f>
        <v>22896000</v>
      </c>
      <c r="D33" s="206">
        <f>Annual_Financials!E50+Annual_Financials!E54</f>
        <v>13793000</v>
      </c>
      <c r="E33" s="207" t="s">
        <v>387</v>
      </c>
      <c r="F33" s="99" t="s">
        <v>387</v>
      </c>
      <c r="G33" t="s">
        <v>245</v>
      </c>
    </row>
    <row r="34" spans="1:7" ht="15.75" customHeight="1">
      <c r="A34" s="99" t="s">
        <v>388</v>
      </c>
      <c r="B34" s="165">
        <v>0</v>
      </c>
      <c r="C34" s="221">
        <f>C33-C32</f>
        <v>-1851000</v>
      </c>
      <c r="D34" s="208">
        <f>D33-D32</f>
        <v>1608000</v>
      </c>
      <c r="E34" s="209" t="s">
        <v>389</v>
      </c>
      <c r="F34" s="99" t="s">
        <v>389</v>
      </c>
      <c r="G34" t="s">
        <v>390</v>
      </c>
    </row>
    <row r="35" spans="1:7" ht="15.75" customHeight="1">
      <c r="A35" s="99" t="s">
        <v>391</v>
      </c>
      <c r="B35" s="165">
        <v>0</v>
      </c>
      <c r="C35" s="206">
        <f>Annual_Financials!D49+Annual_Financials!D53</f>
        <v>12116000</v>
      </c>
      <c r="D35" s="206">
        <f>Annual_Financials!E49+Annual_Financials!E53</f>
        <v>10179000</v>
      </c>
      <c r="E35" s="207" t="s">
        <v>392</v>
      </c>
      <c r="F35" s="99" t="s">
        <v>436</v>
      </c>
      <c r="G35" t="s">
        <v>245</v>
      </c>
    </row>
    <row r="36" spans="1:7" ht="15.75" customHeight="1">
      <c r="A36" s="99" t="s">
        <v>393</v>
      </c>
      <c r="B36" s="165">
        <v>0</v>
      </c>
      <c r="C36" s="208">
        <v>28377000</v>
      </c>
      <c r="D36" s="208">
        <v>28377000</v>
      </c>
      <c r="E36" s="209" t="s">
        <v>394</v>
      </c>
      <c r="F36" s="99" t="s">
        <v>394</v>
      </c>
      <c r="G36" t="s">
        <v>395</v>
      </c>
    </row>
    <row r="37" spans="1:7" ht="15.75" customHeight="1">
      <c r="A37" s="99" t="s">
        <v>396</v>
      </c>
      <c r="B37" s="165">
        <v>0</v>
      </c>
      <c r="C37" s="206">
        <v>20000000</v>
      </c>
      <c r="D37" s="206"/>
      <c r="E37" s="207" t="s">
        <v>397</v>
      </c>
      <c r="F37" s="99" t="s">
        <v>397</v>
      </c>
      <c r="G37" t="s">
        <v>398</v>
      </c>
    </row>
    <row r="38" spans="1:7" ht="15.75" customHeight="1">
      <c r="A38" s="99"/>
      <c r="B38" s="99"/>
      <c r="C38" s="100">
        <f>Annual_Financials!D40/Annual_Financials!E40-1</f>
        <v>0.92152967469580327</v>
      </c>
      <c r="D38" s="100"/>
      <c r="E38" s="99"/>
      <c r="F38" s="99"/>
    </row>
    <row r="39" spans="1:7" ht="15.75" customHeight="1">
      <c r="A39" s="99"/>
      <c r="B39" s="99"/>
      <c r="C39" s="100">
        <f>Annual_Financials!D41/Annual_Financials!E41-1</f>
        <v>1.0145647136709699</v>
      </c>
      <c r="D39" s="100"/>
      <c r="E39" s="99"/>
      <c r="F39" s="99"/>
    </row>
    <row r="40" spans="1:7" ht="15.75" customHeight="1">
      <c r="A40" s="99"/>
      <c r="B40" s="99"/>
      <c r="C40" s="202">
        <f>Annual_Financials!D42/Annual_Financials!E42-1</f>
        <v>-0.25266903914590744</v>
      </c>
      <c r="D40" s="100"/>
      <c r="E40" s="99"/>
      <c r="F40" s="99"/>
    </row>
    <row r="41" spans="1:7" ht="15.75" customHeight="1">
      <c r="A41" s="99"/>
      <c r="B41" s="99"/>
      <c r="C41" s="202">
        <f>Annual_Financials!D43/Annual_Financials!E43-1</f>
        <v>-0.29986431478968789</v>
      </c>
      <c r="D41" s="100"/>
      <c r="E41" s="99"/>
      <c r="F41" s="99"/>
    </row>
    <row r="42" spans="1:7" ht="15.75" customHeight="1">
      <c r="A42" s="99"/>
      <c r="B42" s="99"/>
      <c r="C42" s="103">
        <f>Annual_Financials!D44/Annual_Financials!E44-1</f>
        <v>6.1101626381525831E-2</v>
      </c>
      <c r="D42" s="103"/>
      <c r="E42" s="99"/>
      <c r="F42" s="99"/>
    </row>
    <row r="43" spans="1:7" ht="15.75" customHeight="1">
      <c r="A43" s="99"/>
      <c r="B43" s="99"/>
      <c r="C43" s="203">
        <f>Annual_Financials!D45/Annual_Financials!E45-1</f>
        <v>-0.79741379310344829</v>
      </c>
      <c r="D43" s="103"/>
      <c r="E43" s="99"/>
      <c r="F43" s="99"/>
    </row>
    <row r="44" spans="1:7" ht="15.75" customHeight="1">
      <c r="A44" s="99"/>
      <c r="B44" s="99"/>
      <c r="C44" s="203">
        <f>Annual_Financials!D46/Annual_Financials!E46-1</f>
        <v>-8.8184931506849362E-2</v>
      </c>
      <c r="D44" s="103"/>
      <c r="E44" s="99"/>
      <c r="F44" s="99"/>
    </row>
    <row r="45" spans="1:7" ht="15.75" customHeight="1">
      <c r="A45" s="99"/>
      <c r="B45" s="99"/>
      <c r="C45" s="103">
        <f>Annual_Financials!D47/Annual_Financials!E47-1</f>
        <v>0.6136658371595809</v>
      </c>
      <c r="D45" s="103"/>
      <c r="E45" s="99"/>
      <c r="F45" s="99"/>
    </row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E18" sqref="E18"/>
    </sheetView>
  </sheetViews>
  <sheetFormatPr baseColWidth="10" defaultColWidth="12.6640625" defaultRowHeight="15" customHeight="1"/>
  <cols>
    <col min="1" max="1" width="34" customWidth="1"/>
    <col min="2" max="2" width="54" customWidth="1"/>
    <col min="3" max="3" width="18" customWidth="1"/>
    <col min="4" max="4" width="32" customWidth="1"/>
    <col min="5" max="5" width="18" customWidth="1"/>
    <col min="6" max="26" width="8.83203125" customWidth="1"/>
  </cols>
  <sheetData>
    <row r="1" spans="1:5">
      <c r="A1" s="349" t="s">
        <v>451</v>
      </c>
      <c r="B1" s="350"/>
      <c r="C1" s="350"/>
      <c r="D1" s="350"/>
      <c r="E1" s="351"/>
    </row>
    <row r="3" spans="1:5">
      <c r="A3" s="98" t="s">
        <v>207</v>
      </c>
      <c r="B3" s="98" t="s">
        <v>208</v>
      </c>
      <c r="C3" s="98" t="s">
        <v>209</v>
      </c>
      <c r="D3" s="98" t="s">
        <v>210</v>
      </c>
      <c r="E3" s="98" t="s">
        <v>126</v>
      </c>
    </row>
    <row r="4" spans="1:5">
      <c r="A4" s="99" t="s">
        <v>452</v>
      </c>
      <c r="B4" s="99" t="s">
        <v>464</v>
      </c>
      <c r="C4" s="100">
        <f>Annual_Financials!D4+Annual_Financials!D5-Annual_Financials!D6</f>
        <v>0</v>
      </c>
      <c r="D4" s="99" t="s">
        <v>211</v>
      </c>
      <c r="E4" s="99" t="str">
        <f t="shared" ref="E4:E15" si="0">IF(C4=0,"OK","CHECK")</f>
        <v>OK</v>
      </c>
    </row>
    <row r="5" spans="1:5">
      <c r="A5" s="99" t="s">
        <v>453</v>
      </c>
      <c r="B5" s="99" t="s">
        <v>465</v>
      </c>
      <c r="C5" s="100">
        <f>Annual_Financials!E4+Annual_Financials!E5-Annual_Financials!E6</f>
        <v>0</v>
      </c>
      <c r="D5" s="99" t="s">
        <v>211</v>
      </c>
      <c r="E5" s="99" t="str">
        <f t="shared" si="0"/>
        <v>OK</v>
      </c>
    </row>
    <row r="6" spans="1:5">
      <c r="A6" s="99" t="s">
        <v>454</v>
      </c>
      <c r="B6" s="99" t="s">
        <v>466</v>
      </c>
      <c r="C6" s="100">
        <f>IF(AND(Annual_Financials!D7="",Annual_Financials!D8=""),0,Annual_Financials!D7+Annual_Financials!D8-Annual_Financials!D9)</f>
        <v>0</v>
      </c>
      <c r="D6" s="99" t="s">
        <v>211</v>
      </c>
      <c r="E6" s="99" t="str">
        <f t="shared" si="0"/>
        <v>OK</v>
      </c>
    </row>
    <row r="7" spans="1:5">
      <c r="A7" s="99" t="s">
        <v>455</v>
      </c>
      <c r="B7" s="99" t="s">
        <v>467</v>
      </c>
      <c r="C7" s="100">
        <f>IF(AND(Annual_Financials!E7="",Annual_Financials!E8=""),0,Annual_Financials!E7+Annual_Financials!E8-Annual_Financials!E9)</f>
        <v>0</v>
      </c>
      <c r="D7" s="99" t="s">
        <v>211</v>
      </c>
      <c r="E7" s="99" t="str">
        <f t="shared" si="0"/>
        <v>OK</v>
      </c>
    </row>
    <row r="8" spans="1:5">
      <c r="A8" s="99" t="s">
        <v>456</v>
      </c>
      <c r="B8" s="99" t="s">
        <v>468</v>
      </c>
      <c r="C8" s="100">
        <f>Annual_Financials!D6-Annual_Financials!D9-Annual_Financials!D10</f>
        <v>0</v>
      </c>
      <c r="D8" s="99" t="s">
        <v>211</v>
      </c>
      <c r="E8" s="99" t="str">
        <f t="shared" si="0"/>
        <v>OK</v>
      </c>
    </row>
    <row r="9" spans="1:5">
      <c r="A9" s="99" t="s">
        <v>457</v>
      </c>
      <c r="B9" s="99" t="s">
        <v>469</v>
      </c>
      <c r="C9" s="100">
        <f>Annual_Financials!E6-Annual_Financials!E9-Annual_Financials!E10</f>
        <v>0</v>
      </c>
      <c r="D9" s="99" t="s">
        <v>211</v>
      </c>
      <c r="E9" s="99" t="str">
        <f t="shared" si="0"/>
        <v>OK</v>
      </c>
    </row>
    <row r="10" spans="1:5">
      <c r="A10" s="99" t="s">
        <v>458</v>
      </c>
      <c r="B10" s="99" t="s">
        <v>470</v>
      </c>
      <c r="C10" s="100">
        <f>Annual_Financials!D11+Annual_Financials!D12+Annual_Financials!D13+Annual_Financials!D14-(Annual_Financials!D10-Annual_Financials!D15)</f>
        <v>0</v>
      </c>
      <c r="D10" s="99" t="s">
        <v>211</v>
      </c>
      <c r="E10" s="99" t="str">
        <f t="shared" si="0"/>
        <v>OK</v>
      </c>
    </row>
    <row r="11" spans="1:5">
      <c r="A11" s="99" t="s">
        <v>459</v>
      </c>
      <c r="B11" s="99" t="s">
        <v>470</v>
      </c>
      <c r="C11" s="100">
        <f>Annual_Financials!E11+Annual_Financials!E12+Annual_Financials!E13+Annual_Financials!E14-(Annual_Financials!E10-Annual_Financials!E15)</f>
        <v>0</v>
      </c>
      <c r="D11" s="99" t="s">
        <v>211</v>
      </c>
      <c r="E11" s="99" t="str">
        <f t="shared" si="0"/>
        <v>OK</v>
      </c>
    </row>
    <row r="12" spans="1:5">
      <c r="A12" s="99" t="s">
        <v>460</v>
      </c>
      <c r="B12" s="99" t="s">
        <v>471</v>
      </c>
      <c r="C12" s="100">
        <f>Annual_Financials!D10-(Annual_Financials!D11+Annual_Financials!D12+Annual_Financials!D13+Annual_Financials!D14)-Annual_Financials!D15</f>
        <v>0</v>
      </c>
      <c r="D12" s="99" t="s">
        <v>211</v>
      </c>
      <c r="E12" s="99" t="str">
        <f t="shared" si="0"/>
        <v>OK</v>
      </c>
    </row>
    <row r="13" spans="1:5">
      <c r="A13" s="99" t="s">
        <v>461</v>
      </c>
      <c r="B13" s="99" t="s">
        <v>472</v>
      </c>
      <c r="C13" s="100">
        <f>Annual_Financials!E10-(Annual_Financials!E11+Annual_Financials!E12+Annual_Financials!E13+Annual_Financials!E14)-Annual_Financials!E15</f>
        <v>0</v>
      </c>
      <c r="D13" s="99" t="s">
        <v>211</v>
      </c>
      <c r="E13" s="99" t="str">
        <f t="shared" si="0"/>
        <v>OK</v>
      </c>
    </row>
    <row r="14" spans="1:5">
      <c r="A14" s="99" t="s">
        <v>462</v>
      </c>
      <c r="B14" s="99" t="s">
        <v>473</v>
      </c>
      <c r="C14" s="100">
        <f>Annual_Financials!D19-Annual_Financials!D20-Annual_Financials!D21</f>
        <v>0</v>
      </c>
      <c r="D14" s="99" t="s">
        <v>211</v>
      </c>
      <c r="E14" s="99" t="str">
        <f t="shared" si="0"/>
        <v>OK</v>
      </c>
    </row>
    <row r="15" spans="1:5">
      <c r="A15" s="99" t="s">
        <v>463</v>
      </c>
      <c r="B15" s="99" t="s">
        <v>474</v>
      </c>
      <c r="C15" s="100">
        <f>Annual_Financials!E19-Annual_Financials!E20-Annual_Financials!E21</f>
        <v>0</v>
      </c>
      <c r="D15" s="99" t="s">
        <v>211</v>
      </c>
      <c r="E15" s="99" t="str">
        <f t="shared" si="0"/>
        <v>OK</v>
      </c>
    </row>
    <row r="16" spans="1:5">
      <c r="A16" s="99" t="s">
        <v>246</v>
      </c>
      <c r="B16" s="99" t="s">
        <v>248</v>
      </c>
      <c r="C16" s="100">
        <f>Share_Count!C24</f>
        <v>12520310769</v>
      </c>
      <c r="D16" s="99" t="s">
        <v>250</v>
      </c>
      <c r="E16" s="99" t="str">
        <f>IF(C16&gt;0,"OK","CHECK")</f>
        <v>OK</v>
      </c>
    </row>
    <row r="17" spans="1:5">
      <c r="A17" s="99" t="s">
        <v>247</v>
      </c>
      <c r="B17" s="99" t="s">
        <v>249</v>
      </c>
      <c r="C17" s="100">
        <f>Share_Count!C26</f>
        <v>15739210769</v>
      </c>
      <c r="D17" s="134" t="s">
        <v>250</v>
      </c>
      <c r="E17" s="99" t="str">
        <f>IF(C17&gt;0,"OK","CHECK")</f>
        <v>OK</v>
      </c>
    </row>
    <row r="18" spans="1:5">
      <c r="A18" s="99" t="s">
        <v>251</v>
      </c>
      <c r="B18" s="99" t="s">
        <v>252</v>
      </c>
      <c r="C18" s="100">
        <f>Share_Count!C27</f>
        <v>2</v>
      </c>
      <c r="D18" s="99" t="s">
        <v>253</v>
      </c>
      <c r="E18" s="99" t="str">
        <f>IF(C18&gt;0,"OK - prelim blanks","CHECK")</f>
        <v>OK - prelim blanks</v>
      </c>
    </row>
    <row r="19" spans="1:5">
      <c r="A19" t="s">
        <v>475</v>
      </c>
      <c r="B19" t="s">
        <v>476</v>
      </c>
      <c r="C19" s="100">
        <f>Annual_Financials!D47-Annual_Financials!D59</f>
        <v>0</v>
      </c>
      <c r="D19">
        <v>0</v>
      </c>
      <c r="E19" t="str">
        <f>IF(ABS(C19)&lt;1,"OK","CHECK")</f>
        <v>OK</v>
      </c>
    </row>
    <row r="20" spans="1:5">
      <c r="A20" t="s">
        <v>477</v>
      </c>
      <c r="B20" t="s">
        <v>478</v>
      </c>
      <c r="C20" s="100">
        <f>Annual_Financials!E47-Annual_Financials!E59</f>
        <v>0</v>
      </c>
      <c r="D20">
        <v>0</v>
      </c>
      <c r="E20" t="str">
        <f>IF(ABS(C20)&lt;1,"OK","CHECK")</f>
        <v>OK</v>
      </c>
    </row>
    <row r="21" spans="1:5" ht="15.75" customHeight="1">
      <c r="A21" t="s">
        <v>479</v>
      </c>
      <c r="B21" t="s">
        <v>480</v>
      </c>
      <c r="C21" s="100">
        <f>Annual_Financials!D6-18674000</f>
        <v>0</v>
      </c>
      <c r="D21">
        <v>0</v>
      </c>
      <c r="E21" t="str">
        <f>IF(C21=0,"OK","CHECK")</f>
        <v>OK</v>
      </c>
    </row>
    <row r="22" spans="1:5" ht="15.75" customHeight="1">
      <c r="A22" t="s">
        <v>481</v>
      </c>
      <c r="B22" t="s">
        <v>482</v>
      </c>
      <c r="C22" s="100">
        <f>Annual_Financials!D21-(-4937000)</f>
        <v>0</v>
      </c>
      <c r="D22">
        <v>0</v>
      </c>
      <c r="E22" t="str">
        <f>IF(C22=0,"OK","CHECK")</f>
        <v>OK</v>
      </c>
    </row>
    <row r="23" spans="1:5" ht="15.75" customHeight="1">
      <c r="A23" t="s">
        <v>483</v>
      </c>
      <c r="B23" t="s">
        <v>484</v>
      </c>
      <c r="C23" s="100">
        <f>Annual_Financials!D27-6584000</f>
        <v>0</v>
      </c>
      <c r="D23">
        <v>0</v>
      </c>
      <c r="E23" t="str">
        <f>IF(C23=0,"OK","CHECK")</f>
        <v>OK</v>
      </c>
    </row>
    <row r="24" spans="1:5" ht="15.75" customHeight="1">
      <c r="A24" t="s">
        <v>485</v>
      </c>
      <c r="B24" t="s">
        <v>486</v>
      </c>
      <c r="C24" s="100">
        <f>Share_Count!C24-12520310769</f>
        <v>0</v>
      </c>
      <c r="D24">
        <v>0</v>
      </c>
      <c r="E24" t="str">
        <f>IF(C24=0,"OK","CHECK")</f>
        <v>OK</v>
      </c>
    </row>
    <row r="25" spans="1:5" ht="15.75" customHeight="1">
      <c r="A25" t="s">
        <v>487</v>
      </c>
      <c r="B25" t="s">
        <v>488</v>
      </c>
      <c r="C25" s="100">
        <f>Share_Count!C26-15739210769</f>
        <v>0</v>
      </c>
      <c r="D25">
        <v>0</v>
      </c>
      <c r="E25" t="str">
        <f>IF(C25=0,"OK","CHECK")</f>
        <v>OK</v>
      </c>
    </row>
    <row r="26" spans="1:5" ht="15.75" customHeight="1">
      <c r="A26" t="s">
        <v>489</v>
      </c>
      <c r="B26" t="s">
        <v>490</v>
      </c>
      <c r="C26" s="100">
        <f>IPO_Analysis!C32</f>
        <v>14765110769</v>
      </c>
      <c r="D26" t="s">
        <v>491</v>
      </c>
      <c r="E26" t="str">
        <f>IF(IPO_Analysis!C32&gt;13000000000,"OK","CHECK")</f>
        <v>OK</v>
      </c>
    </row>
    <row r="27" spans="1:5" ht="15.75" customHeight="1">
      <c r="A27" t="s">
        <v>492</v>
      </c>
      <c r="B27" t="s">
        <v>493</v>
      </c>
      <c r="C27" s="100">
        <f>IPO_Analysis!C13-(IPO_Analysis!C12+IPO_Analysis!C14)/2</f>
        <v>0</v>
      </c>
      <c r="D27">
        <v>0</v>
      </c>
      <c r="E27" t="str">
        <f>IF(ABS(C27)&lt;0.01,"OK","CHECK")</f>
        <v>OK</v>
      </c>
    </row>
    <row r="28" spans="1:5" ht="15.75" customHeight="1">
      <c r="A28" t="s">
        <v>502</v>
      </c>
      <c r="B28" t="s">
        <v>494</v>
      </c>
      <c r="C28" s="100">
        <f>IPO_Analysis!F35/1000000000</f>
        <v>1845.6388461250001</v>
      </c>
      <c r="D28" t="s">
        <v>503</v>
      </c>
      <c r="E28" t="str">
        <f>IF(AND(IPO_Analysis!F35&gt;1750000000000,IPO_Analysis!F35&lt;1900000000000),"OK","CHECK")</f>
        <v>OK</v>
      </c>
    </row>
    <row r="29" spans="1:5" ht="15.75" customHeight="1">
      <c r="A29" t="s">
        <v>495</v>
      </c>
      <c r="B29" t="s">
        <v>496</v>
      </c>
      <c r="C29" s="100">
        <f>KPIs!C9</f>
        <v>-0.13864196208632323</v>
      </c>
      <c r="D29" t="s">
        <v>497</v>
      </c>
      <c r="E29" t="str">
        <f>IF(KPIs!C9&lt;0,"OK","CHECK")</f>
        <v>OK</v>
      </c>
    </row>
    <row r="30" spans="1:5" ht="15.75" customHeight="1">
      <c r="A30" t="s">
        <v>498</v>
      </c>
      <c r="B30" t="s">
        <v>499</v>
      </c>
      <c r="C30" s="100">
        <f>KPIs!C4</f>
        <v>0.3324295397788084</v>
      </c>
      <c r="D30" t="s">
        <v>500</v>
      </c>
      <c r="E30" t="str">
        <f>IF(KPIs!C4&gt;0.25,"OK","CHECK")</f>
        <v>OK</v>
      </c>
    </row>
    <row r="31" spans="1:5" ht="15.75" customHeight="1">
      <c r="A31" t="s">
        <v>689</v>
      </c>
      <c r="B31" t="s">
        <v>690</v>
      </c>
      <c r="C31" s="100">
        <f>IPO_Analysis!D88-Annual_Financials!D27</f>
        <v>0</v>
      </c>
      <c r="D31">
        <v>0</v>
      </c>
      <c r="E31" t="str">
        <f>IF(C31=0,"OK","CHECK")</f>
        <v>OK</v>
      </c>
    </row>
    <row r="32" spans="1:5" ht="15.75" customHeight="1">
      <c r="A32" t="s">
        <v>691</v>
      </c>
      <c r="B32" t="s">
        <v>692</v>
      </c>
      <c r="C32" s="100">
        <f>IPO_Analysis!C88-Annual_Financials!E27</f>
        <v>0</v>
      </c>
      <c r="D32">
        <v>0</v>
      </c>
      <c r="E32" t="str">
        <f>IF(C32=0,"OK","CHECK")</f>
        <v>OK</v>
      </c>
    </row>
    <row r="33" spans="3:3" ht="15.75" customHeight="1">
      <c r="C33" s="100"/>
    </row>
    <row r="34" spans="3:3" ht="15.75" customHeight="1">
      <c r="C34" s="100"/>
    </row>
    <row r="35" spans="3:3" ht="15.75" customHeight="1">
      <c r="C35" s="100"/>
    </row>
    <row r="36" spans="3:3" ht="15.75" customHeight="1">
      <c r="C36" s="100"/>
    </row>
    <row r="37" spans="3:3" ht="15.75" customHeight="1">
      <c r="C37" s="100"/>
    </row>
    <row r="38" spans="3:3" ht="15.75" customHeight="1">
      <c r="C38" s="100"/>
    </row>
    <row r="39" spans="3:3" ht="15.75" customHeight="1">
      <c r="C39" s="100"/>
    </row>
    <row r="40" spans="3:3" ht="15.75" customHeight="1">
      <c r="C40" s="100"/>
    </row>
    <row r="41" spans="3:3" ht="15.75" customHeight="1">
      <c r="C41" s="100"/>
    </row>
    <row r="42" spans="3:3" ht="15.75" customHeight="1">
      <c r="C42" s="100"/>
    </row>
    <row r="43" spans="3:3" ht="15.75" customHeight="1">
      <c r="C43" s="100"/>
    </row>
    <row r="44" spans="3:3" ht="15.75" customHeight="1">
      <c r="C44" s="100"/>
    </row>
    <row r="45" spans="3:3" ht="15.75" customHeight="1">
      <c r="C45" s="100"/>
    </row>
    <row r="46" spans="3:3" ht="15.75" customHeight="1">
      <c r="C46" s="100"/>
    </row>
    <row r="47" spans="3:3" ht="15.75" customHeight="1">
      <c r="C47" s="100"/>
    </row>
    <row r="48" spans="3:3" ht="15.75" customHeight="1">
      <c r="C48" s="100"/>
    </row>
    <row r="49" spans="3:3" ht="15.75" customHeight="1">
      <c r="C49" s="100"/>
    </row>
    <row r="50" spans="3:3" ht="15.75" customHeight="1">
      <c r="C50" s="100"/>
    </row>
    <row r="51" spans="3:3" ht="15.75" customHeight="1">
      <c r="C51" s="100"/>
    </row>
    <row r="52" spans="3:3" ht="15.75" customHeight="1">
      <c r="C52" s="100"/>
    </row>
    <row r="53" spans="3:3" ht="15.75" customHeight="1">
      <c r="C53" s="100"/>
    </row>
    <row r="54" spans="3:3" ht="15.75" customHeight="1">
      <c r="C54" s="100"/>
    </row>
    <row r="55" spans="3:3" ht="15.75" customHeight="1">
      <c r="C55" s="100"/>
    </row>
    <row r="56" spans="3:3" ht="15.75" customHeight="1">
      <c r="C56" s="100"/>
    </row>
    <row r="57" spans="3:3" ht="15.75" customHeight="1">
      <c r="C57" s="100"/>
    </row>
    <row r="58" spans="3:3" ht="15.75" customHeight="1">
      <c r="C58" s="100"/>
    </row>
    <row r="59" spans="3:3" ht="15.75" customHeight="1">
      <c r="C59" s="100"/>
    </row>
    <row r="60" spans="3:3" ht="15.75" customHeight="1">
      <c r="C60" s="100"/>
    </row>
    <row r="61" spans="3:3" ht="15.75" customHeight="1">
      <c r="C61" s="100"/>
    </row>
    <row r="62" spans="3:3" ht="15.75" customHeight="1">
      <c r="C62" s="100"/>
    </row>
    <row r="63" spans="3:3" ht="15.75" customHeight="1">
      <c r="C63" s="100"/>
    </row>
    <row r="64" spans="3:3" ht="15.75" customHeight="1">
      <c r="C64" s="100"/>
    </row>
    <row r="65" spans="3:3" ht="15.75" customHeight="1">
      <c r="C65" s="100"/>
    </row>
    <row r="66" spans="3:3" ht="15.75" customHeight="1">
      <c r="C66" s="100"/>
    </row>
    <row r="67" spans="3:3" ht="15.75" customHeight="1">
      <c r="C67" s="100"/>
    </row>
    <row r="68" spans="3:3" ht="15.75" customHeight="1">
      <c r="C68" s="100"/>
    </row>
    <row r="69" spans="3:3" ht="15.75" customHeight="1">
      <c r="C69" s="100"/>
    </row>
    <row r="70" spans="3:3" ht="15.75" customHeight="1">
      <c r="C70" s="100"/>
    </row>
    <row r="71" spans="3:3" ht="15.75" customHeight="1">
      <c r="C71" s="100"/>
    </row>
    <row r="72" spans="3:3" ht="15.75" customHeight="1">
      <c r="C72" s="100"/>
    </row>
    <row r="73" spans="3:3" ht="15.75" customHeight="1">
      <c r="C73" s="100"/>
    </row>
    <row r="74" spans="3:3" ht="15.75" customHeight="1">
      <c r="C74" s="100"/>
    </row>
    <row r="75" spans="3:3" ht="15.75" customHeight="1">
      <c r="C75" s="100"/>
    </row>
    <row r="76" spans="3:3" ht="15.75" customHeight="1">
      <c r="C76" s="100"/>
    </row>
    <row r="77" spans="3:3" ht="15.75" customHeight="1">
      <c r="C77" s="100"/>
    </row>
    <row r="78" spans="3:3" ht="15.75" customHeight="1">
      <c r="C78" s="100"/>
    </row>
    <row r="79" spans="3:3" ht="15.75" customHeight="1">
      <c r="C79" s="100"/>
    </row>
    <row r="80" spans="3:3" ht="15.75" customHeight="1">
      <c r="C80" s="100"/>
    </row>
    <row r="81" spans="3:3" ht="15.75" customHeight="1">
      <c r="C81" s="100"/>
    </row>
    <row r="82" spans="3:3" ht="15.75" customHeight="1">
      <c r="C82" s="100"/>
    </row>
    <row r="83" spans="3:3" ht="15.75" customHeight="1">
      <c r="C83" s="100"/>
    </row>
    <row r="84" spans="3:3" ht="15.75" customHeight="1">
      <c r="C84" s="100"/>
    </row>
    <row r="85" spans="3:3" ht="15.75" customHeight="1">
      <c r="C85" s="100"/>
    </row>
    <row r="86" spans="3:3" ht="15.75" customHeight="1">
      <c r="C86" s="100"/>
    </row>
    <row r="87" spans="3:3" ht="15.75" customHeight="1">
      <c r="C87" s="100"/>
    </row>
    <row r="88" spans="3:3" ht="15.75" customHeight="1">
      <c r="C88" s="100"/>
    </row>
    <row r="89" spans="3:3" ht="15.75" customHeight="1">
      <c r="C89" s="100"/>
    </row>
    <row r="90" spans="3:3" ht="15.75" customHeight="1">
      <c r="C90" s="100"/>
    </row>
    <row r="91" spans="3:3" ht="15.75" customHeight="1">
      <c r="C91" s="100"/>
    </row>
    <row r="92" spans="3:3" ht="15.75" customHeight="1">
      <c r="C92" s="100"/>
    </row>
    <row r="93" spans="3:3" ht="15.75" customHeight="1">
      <c r="C93" s="100"/>
    </row>
    <row r="94" spans="3:3" ht="15.75" customHeight="1">
      <c r="C94" s="100"/>
    </row>
    <row r="95" spans="3:3" ht="15.75" customHeight="1">
      <c r="C95" s="100"/>
    </row>
    <row r="96" spans="3:3" ht="15.75" customHeight="1">
      <c r="C96" s="100"/>
    </row>
    <row r="97" spans="3:3" ht="15.75" customHeight="1">
      <c r="C97" s="100"/>
    </row>
    <row r="98" spans="3:3" ht="15.75" customHeight="1">
      <c r="C98" s="100"/>
    </row>
    <row r="99" spans="3:3" ht="15.75" customHeight="1">
      <c r="C99" s="100"/>
    </row>
    <row r="100" spans="3:3" ht="15.75" customHeight="1">
      <c r="C100" s="100"/>
    </row>
    <row r="101" spans="3:3" ht="15.75" customHeight="1"/>
    <row r="102" spans="3:3" ht="15.75" customHeight="1"/>
    <row r="103" spans="3:3" ht="15.75" customHeight="1"/>
    <row r="104" spans="3:3" ht="15.75" customHeight="1"/>
    <row r="105" spans="3:3" ht="15.75" customHeight="1"/>
    <row r="106" spans="3:3" ht="15.75" customHeight="1"/>
    <row r="107" spans="3:3" ht="15.75" customHeight="1"/>
    <row r="108" spans="3:3" ht="15.75" customHeight="1"/>
    <row r="109" spans="3:3" ht="15.75" customHeight="1"/>
    <row r="110" spans="3:3" ht="15.75" customHeight="1"/>
    <row r="111" spans="3:3" ht="15.75" customHeight="1"/>
    <row r="112" spans="3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COMPANY_INFO</vt:lpstr>
      <vt:lpstr>TERMS</vt:lpstr>
      <vt:lpstr>TAM</vt:lpstr>
      <vt:lpstr>IPO_Analysis</vt:lpstr>
      <vt:lpstr>Share_Count</vt:lpstr>
      <vt:lpstr>Annual_Financials</vt:lpstr>
      <vt:lpstr>KPIs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Kubin</dc:creator>
  <cp:lastModifiedBy>Jared Kubin</cp:lastModifiedBy>
  <dcterms:created xsi:type="dcterms:W3CDTF">2026-05-04T14:22:16Z</dcterms:created>
  <dcterms:modified xsi:type="dcterms:W3CDTF">2026-05-21T16:48:50Z</dcterms:modified>
</cp:coreProperties>
</file>